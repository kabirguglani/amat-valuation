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24226"/>
  <mc:AlternateContent xmlns:mc="http://schemas.openxmlformats.org/markup-compatibility/2006">
    <mc:Choice Requires="x15">
      <x15ac:absPath xmlns:x15ac="http://schemas.microsoft.com/office/spreadsheetml/2010/11/ac" url="/Users/kabir/Desktop/Study Material /Corporate Value managment /Valuation Project/"/>
    </mc:Choice>
  </mc:AlternateContent>
  <xr:revisionPtr revIDLastSave="0" documentId="13_ncr:1_{3F6AA339-FFBA-1543-A151-2BC175E15B59}" xr6:coauthVersionLast="47" xr6:coauthVersionMax="47" xr10:uidLastSave="{00000000-0000-0000-0000-000000000000}"/>
  <bookViews>
    <workbookView xWindow="0" yWindow="720" windowWidth="29400" windowHeight="18400" tabRatio="849" activeTab="6" xr2:uid="{00000000-000D-0000-FFFF-FFFF00000000}"/>
  </bookViews>
  <sheets>
    <sheet name="Balance" sheetId="1" r:id="rId1"/>
    <sheet name="Income" sheetId="5" r:id="rId2"/>
    <sheet name="Forecast" sheetId="4" r:id="rId3"/>
    <sheet name="WACC" sheetId="19" r:id="rId4"/>
    <sheet name="Valuation" sheetId="20" r:id="rId5"/>
    <sheet name="Multiples" sheetId="22" r:id="rId6"/>
    <sheet name="Ratios" sheetId="23" r:id="rId7"/>
    <sheet name="5 Forces" sheetId="24" r:id="rId8"/>
  </sheets>
  <definedNames>
    <definedName name="_xlchart.v2.0" hidden="1">'5 Forces'!$B$2:$B$6</definedName>
    <definedName name="_xlchart.v2.1" hidden="1">'5 Forces'!$C$2:$C$6</definedName>
    <definedName name="_xlchart.v2.2" hidden="1">'5 Forces'!$D$2:$D$6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5" i="4" l="1"/>
  <c r="M25" i="4"/>
  <c r="L25" i="4"/>
  <c r="K25" i="4"/>
  <c r="N23" i="4"/>
  <c r="M23" i="4"/>
  <c r="F10" i="19"/>
  <c r="K31" i="4"/>
  <c r="J26" i="4"/>
  <c r="J25" i="4" s="1"/>
  <c r="J32" i="4"/>
  <c r="J31" i="4" s="1"/>
  <c r="I31" i="4"/>
  <c r="I25" i="4"/>
  <c r="I4" i="4"/>
  <c r="I5" i="4"/>
  <c r="D26" i="23"/>
  <c r="E26" i="23"/>
  <c r="F26" i="23"/>
  <c r="C26" i="23"/>
  <c r="E25" i="22" l="1"/>
  <c r="F25" i="22"/>
  <c r="G25" i="22"/>
  <c r="H25" i="22"/>
  <c r="I25" i="22"/>
  <c r="J25" i="22"/>
  <c r="K25" i="22"/>
  <c r="D25" i="22"/>
  <c r="C30" i="19" l="1"/>
  <c r="F9" i="20"/>
  <c r="C8" i="4"/>
  <c r="D8" i="4"/>
  <c r="E8" i="4"/>
  <c r="F8" i="4"/>
  <c r="G8" i="4"/>
  <c r="H8" i="4"/>
  <c r="H33" i="4"/>
  <c r="C2" i="4"/>
  <c r="L9" i="5"/>
  <c r="L8" i="5"/>
  <c r="L10" i="5"/>
  <c r="L11" i="5"/>
  <c r="L6" i="5"/>
  <c r="K39" i="1" l="1"/>
  <c r="L16" i="5"/>
  <c r="M16" i="5"/>
  <c r="L7" i="5"/>
  <c r="K33" i="1"/>
  <c r="K30" i="1"/>
  <c r="K29" i="1"/>
  <c r="K28" i="1"/>
  <c r="K24" i="1"/>
  <c r="K19" i="1"/>
  <c r="C12" i="4" s="1"/>
  <c r="K18" i="1"/>
  <c r="K16" i="1"/>
  <c r="K12" i="1"/>
  <c r="K11" i="1"/>
  <c r="K10" i="1"/>
  <c r="K7" i="1"/>
  <c r="L6" i="1"/>
  <c r="M6" i="1"/>
  <c r="N6" i="1"/>
  <c r="O6" i="1"/>
  <c r="P6" i="1"/>
  <c r="K6" i="1"/>
  <c r="L19" i="1"/>
  <c r="D12" i="4" s="1"/>
  <c r="M19" i="1"/>
  <c r="E12" i="4" s="1"/>
  <c r="N19" i="1"/>
  <c r="F12" i="4" s="1"/>
  <c r="O19" i="1"/>
  <c r="G12" i="4" s="1"/>
  <c r="P19" i="1"/>
  <c r="H12" i="4" s="1"/>
  <c r="L34" i="1" l="1"/>
  <c r="M34" i="1"/>
  <c r="N34" i="1"/>
  <c r="O34" i="1"/>
  <c r="P34" i="1"/>
  <c r="K34" i="1"/>
  <c r="L28" i="1" l="1"/>
  <c r="M28" i="1"/>
  <c r="N28" i="1"/>
  <c r="O28" i="1"/>
  <c r="P28" i="1"/>
  <c r="L39" i="1" l="1"/>
  <c r="M39" i="1"/>
  <c r="N39" i="1"/>
  <c r="O39" i="1"/>
  <c r="P39" i="1"/>
  <c r="C38" i="19" l="1"/>
  <c r="F27" i="19" l="1"/>
  <c r="C35" i="19" s="1"/>
  <c r="G27" i="19"/>
  <c r="H27" i="19" s="1"/>
  <c r="I27" i="19" s="1"/>
  <c r="J27" i="19" s="1"/>
  <c r="C34" i="19"/>
  <c r="F5" i="19"/>
  <c r="F18" i="19" s="1"/>
  <c r="F6" i="19"/>
  <c r="F7" i="19"/>
  <c r="F8" i="19"/>
  <c r="F9" i="19"/>
  <c r="C37" i="19"/>
  <c r="C23" i="19"/>
  <c r="F4" i="19"/>
  <c r="F23" i="19" l="1"/>
  <c r="G28" i="19"/>
  <c r="D35" i="19" s="1"/>
  <c r="K4" i="1"/>
  <c r="K23" i="1" s="1"/>
  <c r="D38" i="19"/>
  <c r="E38" i="19" s="1"/>
  <c r="F38" i="19" s="1"/>
  <c r="G38" i="19" s="1"/>
  <c r="D34" i="19"/>
  <c r="E34" i="19" s="1"/>
  <c r="F34" i="19" s="1"/>
  <c r="G34" i="19" s="1"/>
  <c r="J28" i="19"/>
  <c r="G35" i="19" s="1"/>
  <c r="I28" i="19"/>
  <c r="F35" i="19" s="1"/>
  <c r="H28" i="19"/>
  <c r="E35" i="19" s="1"/>
  <c r="N16" i="5"/>
  <c r="O16" i="5"/>
  <c r="P16" i="5"/>
  <c r="Q16" i="5"/>
  <c r="M11" i="5"/>
  <c r="N11" i="5"/>
  <c r="O11" i="5"/>
  <c r="P11" i="5"/>
  <c r="Q11" i="5"/>
  <c r="M10" i="5"/>
  <c r="N10" i="5"/>
  <c r="O10" i="5"/>
  <c r="P10" i="5"/>
  <c r="Q10" i="5"/>
  <c r="M9" i="5"/>
  <c r="N9" i="5"/>
  <c r="O9" i="5"/>
  <c r="P9" i="5"/>
  <c r="Q9" i="5"/>
  <c r="M8" i="5"/>
  <c r="N8" i="5"/>
  <c r="O8" i="5"/>
  <c r="P8" i="5"/>
  <c r="G25" i="4" s="1"/>
  <c r="Q8" i="5"/>
  <c r="M7" i="5"/>
  <c r="N7" i="5"/>
  <c r="O7" i="5"/>
  <c r="P7" i="5"/>
  <c r="Q7" i="5"/>
  <c r="C36" i="19" l="1"/>
  <c r="C39" i="19" s="1"/>
  <c r="L12" i="5"/>
  <c r="L33" i="1"/>
  <c r="M33" i="1"/>
  <c r="N33" i="1"/>
  <c r="O33" i="1"/>
  <c r="P33" i="1"/>
  <c r="K36" i="1"/>
  <c r="L29" i="1"/>
  <c r="M29" i="1"/>
  <c r="N29" i="1"/>
  <c r="O29" i="1"/>
  <c r="P29" i="1"/>
  <c r="L30" i="1"/>
  <c r="M30" i="1"/>
  <c r="N30" i="1"/>
  <c r="O30" i="1"/>
  <c r="P30" i="1"/>
  <c r="L10" i="1"/>
  <c r="M10" i="1"/>
  <c r="N10" i="1"/>
  <c r="O10" i="1"/>
  <c r="P10" i="1"/>
  <c r="L11" i="1"/>
  <c r="M11" i="1"/>
  <c r="N11" i="1"/>
  <c r="O11" i="1"/>
  <c r="P11" i="1"/>
  <c r="L12" i="1"/>
  <c r="M12" i="1"/>
  <c r="N12" i="1"/>
  <c r="O12" i="1"/>
  <c r="P12" i="1"/>
  <c r="L18" i="1"/>
  <c r="D10" i="4" s="1"/>
  <c r="M18" i="1"/>
  <c r="E10" i="4" s="1"/>
  <c r="N18" i="1"/>
  <c r="F10" i="4" s="1"/>
  <c r="O18" i="1"/>
  <c r="G10" i="4" s="1"/>
  <c r="P18" i="1"/>
  <c r="H10" i="4" s="1"/>
  <c r="L16" i="1"/>
  <c r="M16" i="1"/>
  <c r="N16" i="1"/>
  <c r="O16" i="1"/>
  <c r="P16" i="1"/>
  <c r="K31" i="1" l="1"/>
  <c r="K32" i="1" s="1"/>
  <c r="K17" i="1"/>
  <c r="K13" i="1"/>
  <c r="O13" i="1"/>
  <c r="N13" i="1"/>
  <c r="M13" i="1"/>
  <c r="P13" i="1"/>
  <c r="L13" i="1"/>
  <c r="D37" i="19"/>
  <c r="D36" i="19"/>
  <c r="L24" i="1"/>
  <c r="M24" i="1"/>
  <c r="N24" i="1"/>
  <c r="O24" i="1"/>
  <c r="P24" i="1"/>
  <c r="C10" i="4"/>
  <c r="L5" i="1"/>
  <c r="M5" i="1"/>
  <c r="N5" i="1"/>
  <c r="O5" i="1"/>
  <c r="P5" i="1"/>
  <c r="L7" i="1"/>
  <c r="M7" i="1"/>
  <c r="N7" i="1"/>
  <c r="O7" i="1"/>
  <c r="P7" i="1"/>
  <c r="K5" i="1"/>
  <c r="E33" i="4" l="1"/>
  <c r="E37" i="19"/>
  <c r="D39" i="19"/>
  <c r="E36" i="19"/>
  <c r="P3" i="1"/>
  <c r="O3" i="1"/>
  <c r="N3" i="1"/>
  <c r="M3" i="1"/>
  <c r="L3" i="1"/>
  <c r="K3" i="1"/>
  <c r="P2" i="1"/>
  <c r="O2" i="1"/>
  <c r="N2" i="1"/>
  <c r="M2" i="1"/>
  <c r="L2" i="1"/>
  <c r="K2" i="1"/>
  <c r="F10" i="20"/>
  <c r="F11" i="20" s="1"/>
  <c r="F12" i="20" s="1"/>
  <c r="F13" i="20" s="1"/>
  <c r="F14" i="20" s="1"/>
  <c r="F15" i="20" s="1"/>
  <c r="F16" i="20" s="1"/>
  <c r="F17" i="20" s="1"/>
  <c r="F18" i="20" s="1"/>
  <c r="F19" i="20" s="1"/>
  <c r="F20" i="20" s="1"/>
  <c r="H7" i="20"/>
  <c r="I7" i="20" s="1"/>
  <c r="J7" i="20" s="1"/>
  <c r="J39" i="4"/>
  <c r="K39" i="4" s="1"/>
  <c r="L39" i="4" s="1"/>
  <c r="M39" i="4" s="1"/>
  <c r="N39" i="4" s="1"/>
  <c r="D33" i="4"/>
  <c r="C33" i="4"/>
  <c r="H29" i="4"/>
  <c r="H22" i="4"/>
  <c r="H9" i="4" s="1"/>
  <c r="I9" i="4" s="1"/>
  <c r="J9" i="4" s="1"/>
  <c r="K9" i="4" s="1"/>
  <c r="L9" i="4" s="1"/>
  <c r="M9" i="4" s="1"/>
  <c r="N9" i="4" s="1"/>
  <c r="P4" i="1"/>
  <c r="P23" i="1" s="1"/>
  <c r="H6" i="4"/>
  <c r="H27" i="4"/>
  <c r="H31" i="4"/>
  <c r="Q12" i="5"/>
  <c r="L4" i="1"/>
  <c r="L23" i="1" s="1"/>
  <c r="M4" i="1"/>
  <c r="M23" i="1" s="1"/>
  <c r="N4" i="1"/>
  <c r="N23" i="1" s="1"/>
  <c r="O4" i="1"/>
  <c r="O23" i="1" s="1"/>
  <c r="H25" i="4"/>
  <c r="C22" i="4"/>
  <c r="C9" i="4" s="1"/>
  <c r="D22" i="4"/>
  <c r="D9" i="4" s="1"/>
  <c r="E22" i="4"/>
  <c r="E9" i="4" s="1"/>
  <c r="F22" i="4"/>
  <c r="F9" i="4" s="1"/>
  <c r="G22" i="4"/>
  <c r="G9" i="4" s="1"/>
  <c r="E27" i="4"/>
  <c r="G27" i="4"/>
  <c r="F29" i="4"/>
  <c r="G29" i="4"/>
  <c r="M12" i="5"/>
  <c r="G31" i="4"/>
  <c r="F31" i="4"/>
  <c r="D31" i="4"/>
  <c r="E29" i="4"/>
  <c r="C29" i="4"/>
  <c r="F27" i="4"/>
  <c r="D27" i="4"/>
  <c r="F25" i="4"/>
  <c r="E31" i="4"/>
  <c r="C31" i="4"/>
  <c r="D29" i="4"/>
  <c r="C27" i="4"/>
  <c r="G39" i="4"/>
  <c r="C39" i="4"/>
  <c r="E39" i="4"/>
  <c r="P12" i="5"/>
  <c r="C25" i="4"/>
  <c r="N12" i="5"/>
  <c r="E25" i="4"/>
  <c r="D25" i="4"/>
  <c r="G6" i="4"/>
  <c r="O36" i="1"/>
  <c r="N36" i="1"/>
  <c r="F19" i="4" s="1"/>
  <c r="L36" i="1"/>
  <c r="F6" i="4"/>
  <c r="E6" i="4"/>
  <c r="D6" i="4"/>
  <c r="C6" i="4"/>
  <c r="K7" i="20" l="1"/>
  <c r="L7" i="20" s="1"/>
  <c r="M7" i="20" s="1"/>
  <c r="D7" i="20"/>
  <c r="C13" i="4"/>
  <c r="H23" i="4"/>
  <c r="E32" i="4"/>
  <c r="C11" i="4"/>
  <c r="F30" i="4"/>
  <c r="E13" i="4"/>
  <c r="E11" i="4"/>
  <c r="D13" i="4"/>
  <c r="D11" i="4"/>
  <c r="H13" i="4"/>
  <c r="I13" i="4" s="1"/>
  <c r="J13" i="4" s="1"/>
  <c r="H11" i="4"/>
  <c r="I11" i="4" s="1"/>
  <c r="J11" i="4" s="1"/>
  <c r="K11" i="4" s="1"/>
  <c r="L11" i="4" s="1"/>
  <c r="M11" i="4" s="1"/>
  <c r="N11" i="4" s="1"/>
  <c r="G26" i="4"/>
  <c r="G13" i="4"/>
  <c r="G11" i="4"/>
  <c r="F13" i="4"/>
  <c r="F11" i="4"/>
  <c r="G7" i="4"/>
  <c r="M31" i="1"/>
  <c r="M32" i="1" s="1"/>
  <c r="D23" i="4"/>
  <c r="E7" i="4"/>
  <c r="E30" i="4"/>
  <c r="E26" i="4"/>
  <c r="P25" i="1"/>
  <c r="D9" i="20" s="1"/>
  <c r="D17" i="20" s="1"/>
  <c r="P8" i="1"/>
  <c r="P15" i="1" s="1"/>
  <c r="E39" i="19"/>
  <c r="F37" i="19"/>
  <c r="F36" i="19"/>
  <c r="G30" i="4"/>
  <c r="F23" i="4"/>
  <c r="M36" i="1"/>
  <c r="E19" i="4" s="1"/>
  <c r="C30" i="4"/>
  <c r="C28" i="4"/>
  <c r="G32" i="4"/>
  <c r="G28" i="4"/>
  <c r="H32" i="4"/>
  <c r="K32" i="4" s="1"/>
  <c r="H26" i="4"/>
  <c r="H28" i="4"/>
  <c r="F28" i="4"/>
  <c r="F32" i="4"/>
  <c r="C26" i="4"/>
  <c r="E28" i="4"/>
  <c r="C32" i="4"/>
  <c r="F39" i="4"/>
  <c r="D39" i="4"/>
  <c r="F26" i="4"/>
  <c r="E23" i="4"/>
  <c r="D26" i="4"/>
  <c r="D30" i="4"/>
  <c r="D28" i="4"/>
  <c r="D32" i="4"/>
  <c r="G23" i="4"/>
  <c r="H39" i="4"/>
  <c r="H30" i="4"/>
  <c r="J30" i="4" s="1"/>
  <c r="K30" i="4" s="1"/>
  <c r="L30" i="4" s="1"/>
  <c r="M30" i="4" s="1"/>
  <c r="N30" i="4" s="1"/>
  <c r="C7" i="4"/>
  <c r="F7" i="4"/>
  <c r="D7" i="4"/>
  <c r="H7" i="4"/>
  <c r="L17" i="1"/>
  <c r="M13" i="5" s="1"/>
  <c r="L31" i="1"/>
  <c r="O12" i="5"/>
  <c r="K8" i="1"/>
  <c r="K15" i="1" s="1"/>
  <c r="K25" i="1"/>
  <c r="M8" i="1"/>
  <c r="O25" i="1"/>
  <c r="L25" i="1"/>
  <c r="M25" i="1"/>
  <c r="N25" i="1"/>
  <c r="E1" i="4"/>
  <c r="N5" i="5"/>
  <c r="P6" i="5"/>
  <c r="G2" i="4"/>
  <c r="O5" i="5"/>
  <c r="F1" i="4"/>
  <c r="M6" i="5"/>
  <c r="D2" i="4"/>
  <c r="Q6" i="5"/>
  <c r="H2" i="4"/>
  <c r="M5" i="5"/>
  <c r="D1" i="4"/>
  <c r="Q5" i="5"/>
  <c r="H1" i="4"/>
  <c r="O6" i="5"/>
  <c r="F2" i="4"/>
  <c r="C1" i="4"/>
  <c r="L5" i="5"/>
  <c r="P5" i="5"/>
  <c r="G1" i="4"/>
  <c r="E2" i="4"/>
  <c r="N6" i="5"/>
  <c r="L8" i="1"/>
  <c r="N8" i="1"/>
  <c r="J44" i="1"/>
  <c r="J45" i="1" s="1"/>
  <c r="J46" i="1" s="1"/>
  <c r="J47" i="1" s="1"/>
  <c r="J48" i="1" s="1"/>
  <c r="J49" i="1" s="1"/>
  <c r="J50" i="1" s="1"/>
  <c r="J51" i="1" s="1"/>
  <c r="J52" i="1" s="1"/>
  <c r="J53" i="1" s="1"/>
  <c r="J54" i="1" s="1"/>
  <c r="J55" i="1" s="1"/>
  <c r="J56" i="1" s="1"/>
  <c r="O8" i="1"/>
  <c r="C19" i="4"/>
  <c r="G19" i="4"/>
  <c r="P36" i="1"/>
  <c r="H19" i="4" s="1"/>
  <c r="D19" i="4"/>
  <c r="L32" i="4" l="1"/>
  <c r="I7" i="4"/>
  <c r="K13" i="4"/>
  <c r="L13" i="4" s="1"/>
  <c r="M13" i="4" s="1"/>
  <c r="N13" i="4" s="1"/>
  <c r="C4" i="4"/>
  <c r="K20" i="1"/>
  <c r="M17" i="1"/>
  <c r="E34" i="4" s="1"/>
  <c r="E35" i="4" s="1"/>
  <c r="F33" i="4"/>
  <c r="L32" i="1"/>
  <c r="L37" i="1" s="1"/>
  <c r="G37" i="19"/>
  <c r="F39" i="19"/>
  <c r="G36" i="19"/>
  <c r="G39" i="19" s="1"/>
  <c r="H39" i="19" s="1"/>
  <c r="M14" i="5"/>
  <c r="M15" i="5" s="1"/>
  <c r="M17" i="5" s="1"/>
  <c r="M15" i="1"/>
  <c r="E18" i="4"/>
  <c r="E20" i="4" s="1"/>
  <c r="L13" i="5"/>
  <c r="C18" i="4"/>
  <c r="C20" i="4" s="1"/>
  <c r="M37" i="1"/>
  <c r="O15" i="1"/>
  <c r="K37" i="1"/>
  <c r="L15" i="1"/>
  <c r="L20" i="1" s="1"/>
  <c r="N15" i="1"/>
  <c r="M32" i="4" l="1"/>
  <c r="L31" i="4"/>
  <c r="L21" i="1"/>
  <c r="J7" i="4"/>
  <c r="K7" i="4" s="1"/>
  <c r="L7" i="4" s="1"/>
  <c r="M7" i="4" s="1"/>
  <c r="N7" i="4" s="1"/>
  <c r="C14" i="4"/>
  <c r="D18" i="4"/>
  <c r="D20" i="4" s="1"/>
  <c r="G4" i="4"/>
  <c r="E4" i="4"/>
  <c r="M20" i="1"/>
  <c r="M26" i="1" s="1"/>
  <c r="N13" i="5"/>
  <c r="N14" i="5" s="1"/>
  <c r="N15" i="5" s="1"/>
  <c r="N17" i="5" s="1"/>
  <c r="N17" i="1"/>
  <c r="N20" i="1" s="1"/>
  <c r="N31" i="1"/>
  <c r="N32" i="1" s="1"/>
  <c r="F18" i="4" s="1"/>
  <c r="F20" i="4" s="1"/>
  <c r="G33" i="4"/>
  <c r="D34" i="4"/>
  <c r="D36" i="4" s="1"/>
  <c r="E36" i="4"/>
  <c r="E38" i="4" s="1"/>
  <c r="E41" i="4" s="1"/>
  <c r="D4" i="4"/>
  <c r="D14" i="4" s="1"/>
  <c r="L14" i="5"/>
  <c r="L15" i="5" s="1"/>
  <c r="H4" i="4"/>
  <c r="C34" i="4"/>
  <c r="K26" i="1"/>
  <c r="F4" i="4"/>
  <c r="N32" i="4" l="1"/>
  <c r="E14" i="4"/>
  <c r="E24" i="4" s="1"/>
  <c r="H5" i="4"/>
  <c r="G5" i="4"/>
  <c r="N37" i="1"/>
  <c r="E5" i="4"/>
  <c r="O31" i="1"/>
  <c r="O32" i="1" s="1"/>
  <c r="O17" i="1"/>
  <c r="O20" i="1" s="1"/>
  <c r="I33" i="4"/>
  <c r="O13" i="5"/>
  <c r="F14" i="4"/>
  <c r="D35" i="4"/>
  <c r="D5" i="4"/>
  <c r="E37" i="4"/>
  <c r="L17" i="5"/>
  <c r="C35" i="4"/>
  <c r="C36" i="4"/>
  <c r="N18" i="5"/>
  <c r="M21" i="1"/>
  <c r="N20" i="5" s="1"/>
  <c r="N21" i="5" s="1"/>
  <c r="M20" i="5"/>
  <c r="M21" i="5" s="1"/>
  <c r="C24" i="4"/>
  <c r="C5" i="4"/>
  <c r="L26" i="1"/>
  <c r="M18" i="5"/>
  <c r="E43" i="4"/>
  <c r="D37" i="4"/>
  <c r="D38" i="4"/>
  <c r="D41" i="4" s="1"/>
  <c r="E42" i="4" s="1"/>
  <c r="F5" i="4"/>
  <c r="N26" i="1"/>
  <c r="N21" i="1"/>
  <c r="O20" i="5" s="1"/>
  <c r="D24" i="4"/>
  <c r="D16" i="4"/>
  <c r="E44" i="4" l="1"/>
  <c r="E16" i="4"/>
  <c r="E45" i="4" s="1"/>
  <c r="J5" i="4"/>
  <c r="P17" i="1"/>
  <c r="P20" i="1" s="1"/>
  <c r="P31" i="1"/>
  <c r="P32" i="1" s="1"/>
  <c r="P37" i="1" s="1"/>
  <c r="F34" i="4"/>
  <c r="O14" i="5"/>
  <c r="G14" i="4"/>
  <c r="P13" i="5"/>
  <c r="J33" i="4"/>
  <c r="O37" i="1"/>
  <c r="G18" i="4"/>
  <c r="G20" i="4" s="1"/>
  <c r="L18" i="5"/>
  <c r="C37" i="4"/>
  <c r="C38" i="4"/>
  <c r="C41" i="4" s="1"/>
  <c r="D42" i="4" s="1"/>
  <c r="D44" i="4"/>
  <c r="F16" i="4"/>
  <c r="F24" i="4"/>
  <c r="D43" i="4"/>
  <c r="D17" i="4"/>
  <c r="D45" i="4"/>
  <c r="E17" i="4" l="1"/>
  <c r="K5" i="4"/>
  <c r="K33" i="4"/>
  <c r="G34" i="4"/>
  <c r="O15" i="5"/>
  <c r="O17" i="5" s="1"/>
  <c r="O26" i="1"/>
  <c r="O21" i="1"/>
  <c r="P20" i="5" s="1"/>
  <c r="D11" i="20"/>
  <c r="H18" i="4"/>
  <c r="H20" i="4" s="1"/>
  <c r="P14" i="5"/>
  <c r="F36" i="4"/>
  <c r="F35" i="4"/>
  <c r="H14" i="4"/>
  <c r="Q13" i="5"/>
  <c r="C43" i="4"/>
  <c r="C44" i="4"/>
  <c r="L5" i="4" l="1"/>
  <c r="O18" i="5"/>
  <c r="O21" i="5"/>
  <c r="H34" i="4"/>
  <c r="G24" i="4"/>
  <c r="G16" i="4"/>
  <c r="P26" i="1"/>
  <c r="P21" i="1"/>
  <c r="Q20" i="5" s="1"/>
  <c r="F38" i="4"/>
  <c r="F41" i="4" s="1"/>
  <c r="F37" i="4"/>
  <c r="P15" i="5"/>
  <c r="P17" i="5" s="1"/>
  <c r="Q14" i="5"/>
  <c r="Q15" i="5" s="1"/>
  <c r="Q17" i="5" s="1"/>
  <c r="G36" i="4"/>
  <c r="G35" i="4"/>
  <c r="L33" i="4"/>
  <c r="M5" i="4" l="1"/>
  <c r="P18" i="5"/>
  <c r="P21" i="5"/>
  <c r="H16" i="4"/>
  <c r="H24" i="4"/>
  <c r="G38" i="4"/>
  <c r="G41" i="4" s="1"/>
  <c r="G37" i="4"/>
  <c r="M33" i="4"/>
  <c r="F43" i="4"/>
  <c r="F44" i="4"/>
  <c r="F42" i="4"/>
  <c r="F17" i="4"/>
  <c r="F45" i="4"/>
  <c r="H36" i="4"/>
  <c r="H35" i="4"/>
  <c r="Q18" i="5"/>
  <c r="Q21" i="5"/>
  <c r="N5" i="4" l="1"/>
  <c r="G43" i="4"/>
  <c r="G44" i="4"/>
  <c r="G42" i="4"/>
  <c r="G45" i="4"/>
  <c r="G17" i="4"/>
  <c r="H38" i="4"/>
  <c r="H41" i="4" s="1"/>
  <c r="H37" i="4"/>
  <c r="N33" i="4"/>
  <c r="H42" i="4" l="1"/>
  <c r="H43" i="4"/>
  <c r="H45" i="4"/>
  <c r="H44" i="4"/>
  <c r="H17" i="4"/>
  <c r="I22" i="4" l="1"/>
  <c r="I8" i="4" l="1"/>
  <c r="I34" i="4" s="1"/>
  <c r="I35" i="4" s="1"/>
  <c r="I29" i="4"/>
  <c r="I10" i="4"/>
  <c r="I6" i="4"/>
  <c r="J22" i="4"/>
  <c r="J8" i="4" s="1"/>
  <c r="I12" i="4"/>
  <c r="I14" i="4" l="1"/>
  <c r="I24" i="4" s="1"/>
  <c r="J34" i="4"/>
  <c r="J35" i="4" s="1"/>
  <c r="J12" i="4"/>
  <c r="J4" i="4"/>
  <c r="J10" i="4"/>
  <c r="J29" i="4"/>
  <c r="J6" i="4"/>
  <c r="K22" i="4"/>
  <c r="K8" i="4" s="1"/>
  <c r="I16" i="4" l="1"/>
  <c r="L22" i="4"/>
  <c r="L8" i="4" s="1"/>
  <c r="K12" i="4"/>
  <c r="K6" i="4"/>
  <c r="K34" i="4"/>
  <c r="K35" i="4" s="1"/>
  <c r="K29" i="4"/>
  <c r="K4" i="4"/>
  <c r="K10" i="4"/>
  <c r="J14" i="4"/>
  <c r="J16" i="4" l="1"/>
  <c r="J24" i="4"/>
  <c r="K14" i="4"/>
  <c r="M22" i="4"/>
  <c r="L4" i="4"/>
  <c r="L34" i="4"/>
  <c r="L35" i="4" s="1"/>
  <c r="L6" i="4"/>
  <c r="L29" i="4"/>
  <c r="L12" i="4"/>
  <c r="L10" i="4"/>
  <c r="M8" i="4" l="1"/>
  <c r="M31" i="4"/>
  <c r="K16" i="4"/>
  <c r="K24" i="4"/>
  <c r="L14" i="4"/>
  <c r="N22" i="4"/>
  <c r="M12" i="4"/>
  <c r="M4" i="4"/>
  <c r="M10" i="4"/>
  <c r="M34" i="4"/>
  <c r="M35" i="4" s="1"/>
  <c r="M29" i="4"/>
  <c r="M6" i="4"/>
  <c r="N8" i="4" l="1"/>
  <c r="N31" i="4"/>
  <c r="N4" i="4"/>
  <c r="N29" i="4"/>
  <c r="N10" i="4"/>
  <c r="N34" i="4"/>
  <c r="N35" i="4" s="1"/>
  <c r="N12" i="4"/>
  <c r="N6" i="4"/>
  <c r="L16" i="4"/>
  <c r="L24" i="4"/>
  <c r="M14" i="4"/>
  <c r="M16" i="4" l="1"/>
  <c r="M24" i="4"/>
  <c r="N14" i="4"/>
  <c r="N16" i="4" l="1"/>
  <c r="N24" i="4"/>
  <c r="K26" i="4" l="1"/>
  <c r="J36" i="4"/>
  <c r="J38" i="4" l="1"/>
  <c r="J41" i="4" s="1"/>
  <c r="J45" i="4" s="1"/>
  <c r="L26" i="4"/>
  <c r="K36" i="4"/>
  <c r="J37" i="4"/>
  <c r="J44" i="4" l="1"/>
  <c r="J43" i="4"/>
  <c r="K38" i="4"/>
  <c r="K41" i="4" s="1"/>
  <c r="K45" i="4" s="1"/>
  <c r="K37" i="4"/>
  <c r="M26" i="4"/>
  <c r="N26" i="4" l="1"/>
  <c r="K43" i="4"/>
  <c r="K42" i="4"/>
  <c r="K44" i="4"/>
  <c r="J28" i="4" l="1"/>
  <c r="K28" i="4" s="1"/>
  <c r="L28" i="4" s="1"/>
  <c r="I27" i="4"/>
  <c r="I36" i="4" s="1"/>
  <c r="I37" i="4" s="1"/>
  <c r="M28" i="4" l="1"/>
  <c r="L27" i="4"/>
  <c r="L36" i="4" s="1"/>
  <c r="I38" i="4"/>
  <c r="I41" i="4" s="1"/>
  <c r="I45" i="4" l="1"/>
  <c r="I42" i="4"/>
  <c r="I43" i="4"/>
  <c r="J42" i="4"/>
  <c r="I44" i="4"/>
  <c r="L37" i="4"/>
  <c r="L38" i="4"/>
  <c r="L41" i="4" s="1"/>
  <c r="N28" i="4"/>
  <c r="N27" i="4" s="1"/>
  <c r="N36" i="4" s="1"/>
  <c r="M27" i="4"/>
  <c r="M36" i="4" s="1"/>
  <c r="L42" i="4" l="1"/>
  <c r="L45" i="4"/>
  <c r="L44" i="4"/>
  <c r="L43" i="4"/>
  <c r="M37" i="4"/>
  <c r="M38" i="4"/>
  <c r="M41" i="4" s="1"/>
  <c r="N38" i="4"/>
  <c r="N41" i="4" s="1"/>
  <c r="N37" i="4"/>
  <c r="N45" i="4" l="1"/>
  <c r="L3" i="20" s="1"/>
  <c r="N43" i="4"/>
  <c r="N42" i="4"/>
  <c r="N44" i="4"/>
  <c r="M45" i="4"/>
  <c r="K3" i="20" s="1"/>
  <c r="M44" i="4"/>
  <c r="M42" i="4"/>
  <c r="M43" i="4"/>
  <c r="H8" i="20" l="1"/>
  <c r="M14" i="20"/>
  <c r="H12" i="20"/>
  <c r="H13" i="20"/>
  <c r="L13" i="20"/>
  <c r="L19" i="20"/>
  <c r="K10" i="20"/>
  <c r="K19" i="20"/>
  <c r="L12" i="20"/>
  <c r="M10" i="20"/>
  <c r="K12" i="20"/>
  <c r="K8" i="20"/>
  <c r="G10" i="20"/>
  <c r="H18" i="20"/>
  <c r="H15" i="20"/>
  <c r="K9" i="20"/>
  <c r="D8" i="20"/>
  <c r="D10" i="20" s="1"/>
  <c r="D12" i="20" s="1"/>
  <c r="D15" i="20" s="1"/>
  <c r="M13" i="20"/>
  <c r="M17" i="20"/>
  <c r="G20" i="20"/>
  <c r="M19" i="20"/>
  <c r="J19" i="20"/>
  <c r="M9" i="20"/>
  <c r="G17" i="20"/>
  <c r="L18" i="20"/>
  <c r="H14" i="20"/>
  <c r="G14" i="20"/>
  <c r="M20" i="20"/>
  <c r="H10" i="20"/>
  <c r="K13" i="20"/>
  <c r="J20" i="20"/>
  <c r="I14" i="20"/>
  <c r="G8" i="20"/>
  <c r="I17" i="20"/>
  <c r="J18" i="20"/>
  <c r="L10" i="20"/>
  <c r="I8" i="20"/>
  <c r="J12" i="20"/>
  <c r="H9" i="20"/>
  <c r="H19" i="20"/>
  <c r="G15" i="20"/>
  <c r="I9" i="20"/>
  <c r="L9" i="20"/>
  <c r="I15" i="20"/>
  <c r="K20" i="20"/>
  <c r="G19" i="20"/>
  <c r="L14" i="20"/>
  <c r="J17" i="20"/>
  <c r="I13" i="20"/>
  <c r="H11" i="20"/>
  <c r="I12" i="20"/>
  <c r="J15" i="20"/>
  <c r="H20" i="20"/>
  <c r="G9" i="20"/>
  <c r="M15" i="20"/>
  <c r="I10" i="20"/>
  <c r="I19" i="20"/>
  <c r="K17" i="20"/>
  <c r="M18" i="20"/>
  <c r="G11" i="20"/>
  <c r="K15" i="20"/>
  <c r="K18" i="20"/>
  <c r="L16" i="20"/>
  <c r="I18" i="20"/>
  <c r="I20" i="20"/>
  <c r="G16" i="20"/>
  <c r="K14" i="20"/>
  <c r="J9" i="20"/>
  <c r="L11" i="20"/>
  <c r="H16" i="20"/>
  <c r="J16" i="20"/>
  <c r="L20" i="20"/>
  <c r="J8" i="20"/>
  <c r="L8" i="20"/>
  <c r="G18" i="20"/>
  <c r="L17" i="20"/>
  <c r="M16" i="20"/>
  <c r="H17" i="20"/>
  <c r="G13" i="20"/>
  <c r="K16" i="20"/>
  <c r="M11" i="20"/>
  <c r="J14" i="20"/>
  <c r="I16" i="20"/>
  <c r="J11" i="20"/>
  <c r="L15" i="20"/>
  <c r="J13" i="20"/>
  <c r="K11" i="20"/>
  <c r="I11" i="20"/>
  <c r="G12" i="20"/>
  <c r="M12" i="20"/>
  <c r="M8" i="20"/>
  <c r="J10" i="20"/>
</calcChain>
</file>

<file path=xl/sharedStrings.xml><?xml version="1.0" encoding="utf-8"?>
<sst xmlns="http://schemas.openxmlformats.org/spreadsheetml/2006/main" count="525" uniqueCount="326">
  <si>
    <t>Invested Capital</t>
  </si>
  <si>
    <t>$ millions</t>
  </si>
  <si>
    <t>Assets</t>
  </si>
  <si>
    <t>Working cash</t>
  </si>
  <si>
    <t>Inventories</t>
  </si>
  <si>
    <t xml:space="preserve">     Operating current assets</t>
  </si>
  <si>
    <t>Net property, plant &amp; equipment</t>
  </si>
  <si>
    <t xml:space="preserve">     Operating current liabilities</t>
  </si>
  <si>
    <t>Operating working capital</t>
  </si>
  <si>
    <t>Capitalized operating leases</t>
  </si>
  <si>
    <t>Net other assets</t>
  </si>
  <si>
    <t xml:space="preserve">       Debt and debt equivalents</t>
  </si>
  <si>
    <t xml:space="preserve">       Equity and equity equivalents</t>
  </si>
  <si>
    <t>Net sales</t>
  </si>
  <si>
    <t>Excess cash</t>
  </si>
  <si>
    <t>Net investment</t>
  </si>
  <si>
    <t>Cost of sales</t>
  </si>
  <si>
    <t>Selling, general &amp; administrative expenses</t>
  </si>
  <si>
    <t>Other expenses</t>
  </si>
  <si>
    <t>Depreciation &amp; amortization</t>
  </si>
  <si>
    <t>Operating lease interest</t>
  </si>
  <si>
    <t xml:space="preserve">     Adjusted EBIT</t>
  </si>
  <si>
    <t>Operating cash taxes</t>
  </si>
  <si>
    <t>Tax rate</t>
  </si>
  <si>
    <t>NOPLAT</t>
  </si>
  <si>
    <t>Earnings before interest &amp; taxes (EBIT)</t>
  </si>
  <si>
    <t>Free cash flow</t>
  </si>
  <si>
    <t>PV of operating lease payments @</t>
  </si>
  <si>
    <t>WACC</t>
  </si>
  <si>
    <t>FCF</t>
  </si>
  <si>
    <t>ROIC</t>
  </si>
  <si>
    <t>Value of Operations</t>
  </si>
  <si>
    <t>Other Current Liabilities</t>
  </si>
  <si>
    <t xml:space="preserve">     Total funds invested (Uses)</t>
  </si>
  <si>
    <t>Total funds invested (Sources)</t>
  </si>
  <si>
    <t xml:space="preserve">     NOA</t>
  </si>
  <si>
    <t xml:space="preserve">     Invested capital (Uses)</t>
  </si>
  <si>
    <t>AAPL Financial Analysis</t>
  </si>
  <si>
    <t>Equity (EEE)</t>
  </si>
  <si>
    <t>Adjusted Debt (DDE - NOA)</t>
  </si>
  <si>
    <t xml:space="preserve">     Invested capital (Sources)</t>
  </si>
  <si>
    <t xml:space="preserve">     Net investment</t>
  </si>
  <si>
    <t xml:space="preserve">  Operating working capital/net sales</t>
  </si>
  <si>
    <t xml:space="preserve">  Net PP&amp;E/net sales</t>
  </si>
  <si>
    <t xml:space="preserve">  Capitalized operating leases/net sales</t>
  </si>
  <si>
    <t>Invested capital (Uses)</t>
  </si>
  <si>
    <t xml:space="preserve">  Investment rate (net investment/NOPLAT)</t>
  </si>
  <si>
    <t xml:space="preserve">  Tax rate</t>
  </si>
  <si>
    <t xml:space="preserve">  Net sales growth</t>
  </si>
  <si>
    <t xml:space="preserve">  Net Sales/invested capital</t>
  </si>
  <si>
    <t xml:space="preserve">  Cost of sales/net sales</t>
  </si>
  <si>
    <t xml:space="preserve">  SG&amp;A/net sales</t>
  </si>
  <si>
    <t xml:space="preserve">  Other expenses/net sales</t>
  </si>
  <si>
    <t xml:space="preserve">  Depreciation &amp; amortization/net sales</t>
  </si>
  <si>
    <t xml:space="preserve">  Operating lease interest/net sales</t>
  </si>
  <si>
    <t xml:space="preserve">  Adjusted EBIT/net sales</t>
  </si>
  <si>
    <t xml:space="preserve">  NOPLAT/net sales</t>
  </si>
  <si>
    <t xml:space="preserve">  Growth (NOPLAT)</t>
  </si>
  <si>
    <t xml:space="preserve">    Adjusted EBIT</t>
  </si>
  <si>
    <t>Interest Rate</t>
  </si>
  <si>
    <t>INPUT</t>
  </si>
  <si>
    <t>Average</t>
  </si>
  <si>
    <t>Beta</t>
  </si>
  <si>
    <t>10 Year Treasury</t>
  </si>
  <si>
    <t>Perpetual Growth</t>
  </si>
  <si>
    <t>Growth</t>
  </si>
  <si>
    <t>NOA</t>
  </si>
  <si>
    <t>DDE</t>
  </si>
  <si>
    <t>Share Price</t>
  </si>
  <si>
    <t>NOA/Share</t>
  </si>
  <si>
    <t>PV Of Operations</t>
  </si>
  <si>
    <t>Equity Value</t>
  </si>
  <si>
    <t>Total Equity</t>
  </si>
  <si>
    <t>Cash &amp; Short-Term Investments</t>
  </si>
  <si>
    <t>Cash Only</t>
  </si>
  <si>
    <t>Total Short Term Investments</t>
  </si>
  <si>
    <t>Short-Term Receivables</t>
  </si>
  <si>
    <t>Accounts Receivables, Net</t>
  </si>
  <si>
    <t>Accounts Receivables, Gross</t>
  </si>
  <si>
    <t>Bad Debt/Doubtful Accounts</t>
  </si>
  <si>
    <t>Finished Goods</t>
  </si>
  <si>
    <t>Work in Progress</t>
  </si>
  <si>
    <t>Raw Materials</t>
  </si>
  <si>
    <t>Other Current Assets</t>
  </si>
  <si>
    <t>Prepaid Expenses</t>
  </si>
  <si>
    <t>Miscellaneous Current Assets</t>
  </si>
  <si>
    <t>Total Current Assets</t>
  </si>
  <si>
    <t>Net Property, Plant &amp; Equipment</t>
  </si>
  <si>
    <t>Property, Plant &amp; Equipment - Gross</t>
  </si>
  <si>
    <t>Buildings</t>
  </si>
  <si>
    <t>Machinery &amp; Equipment</t>
  </si>
  <si>
    <t>Other Property, Plant &amp; Equipment</t>
  </si>
  <si>
    <t>Accumulated Depreciation</t>
  </si>
  <si>
    <t>Total Investments and Advances</t>
  </si>
  <si>
    <t>Other Long-Term Investments</t>
  </si>
  <si>
    <t>Intangible Assets</t>
  </si>
  <si>
    <t>Goodwill</t>
  </si>
  <si>
    <t>Other Intangible Assets</t>
  </si>
  <si>
    <t>Deferred Tax Assets</t>
  </si>
  <si>
    <t>Other Assets</t>
  </si>
  <si>
    <t>Tangible Other Assets</t>
  </si>
  <si>
    <t>Total Assets</t>
  </si>
  <si>
    <t>Liabilities &amp; Shareholders' Equity</t>
  </si>
  <si>
    <t>ST Debt &amp; Curr. Portion LT Debt</t>
  </si>
  <si>
    <t>Accounts Payable</t>
  </si>
  <si>
    <t>Income Tax Payable</t>
  </si>
  <si>
    <t>Accrued Payroll</t>
  </si>
  <si>
    <t>Miscellaneous Current Liabilities</t>
  </si>
  <si>
    <t>Total Current Liabilities</t>
  </si>
  <si>
    <t>Long-Term Debt</t>
  </si>
  <si>
    <t>Provision for Risks &amp; Charges</t>
  </si>
  <si>
    <t>Deferred Tax Liabilities</t>
  </si>
  <si>
    <t>Other Liabilities</t>
  </si>
  <si>
    <t>Other Liabilities (excl. Deferred Income)</t>
  </si>
  <si>
    <t>Total Liabilities</t>
  </si>
  <si>
    <t>Common Equity</t>
  </si>
  <si>
    <t>Common Stock Par/Carry Value</t>
  </si>
  <si>
    <t>Retained Earnings</t>
  </si>
  <si>
    <t>Cumulative Translation Adjustment/Unrealized For. Exch. Gain</t>
  </si>
  <si>
    <t>Unrealized Gain/Loss Marketable Securities</t>
  </si>
  <si>
    <t>Other Appropriated Reserves</t>
  </si>
  <si>
    <t>Total Shareholders' Equity</t>
  </si>
  <si>
    <t>Total Liabilities &amp; Shareholders' Equity</t>
  </si>
  <si>
    <t>Sales</t>
  </si>
  <si>
    <t>Cost of Goods Sold (COGS) incl. D&amp;A</t>
  </si>
  <si>
    <t>COGS excluding D&amp;A</t>
  </si>
  <si>
    <t>Depreciation &amp; Amortization Expense</t>
  </si>
  <si>
    <t>Depreciation</t>
  </si>
  <si>
    <t>Amortization of Intangibles</t>
  </si>
  <si>
    <t>Gross Income</t>
  </si>
  <si>
    <t>SG&amp;A Expense</t>
  </si>
  <si>
    <t>Research &amp; Development</t>
  </si>
  <si>
    <t>Other SG&amp;A</t>
  </si>
  <si>
    <t>EBIT (Operating Income)</t>
  </si>
  <si>
    <t>Nonoperating Income - Net</t>
  </si>
  <si>
    <t>Other Income (Expense)</t>
  </si>
  <si>
    <t>Interest Expense</t>
  </si>
  <si>
    <t>Unusual Expense - Net</t>
  </si>
  <si>
    <t>Other Unusual Expense</t>
  </si>
  <si>
    <t>Pretax Income</t>
  </si>
  <si>
    <t>Income Taxes</t>
  </si>
  <si>
    <t>Income Taxes - Current Domestic</t>
  </si>
  <si>
    <t>Income Taxes - Current Foreign</t>
  </si>
  <si>
    <t>Income Taxes - Deferred Domestic</t>
  </si>
  <si>
    <t>Income Taxes - Deferred Foreign</t>
  </si>
  <si>
    <t>Consolidated Net Income</t>
  </si>
  <si>
    <t>Net Income</t>
  </si>
  <si>
    <t>Comps</t>
  </si>
  <si>
    <t>Name</t>
  </si>
  <si>
    <t>Unlvrd Beta calculated</t>
  </si>
  <si>
    <t>Tax</t>
  </si>
  <si>
    <t>Weight d</t>
  </si>
  <si>
    <t>Weight e</t>
  </si>
  <si>
    <t>WACC (10y)</t>
  </si>
  <si>
    <t>D/E %</t>
  </si>
  <si>
    <t>Tax %</t>
  </si>
  <si>
    <t>Levered Beta</t>
  </si>
  <si>
    <t>Total Debt/ Total Equity</t>
  </si>
  <si>
    <t>Beta  to Loc Indx 3 Year</t>
  </si>
  <si>
    <t>Tax Rate</t>
  </si>
  <si>
    <t>10y Ke</t>
  </si>
  <si>
    <t>10y Market Premium</t>
  </si>
  <si>
    <t xml:space="preserve"> Kd (10y T rate + spread)</t>
  </si>
  <si>
    <t>WACC calculation</t>
  </si>
  <si>
    <t>All in million, except per share data</t>
  </si>
  <si>
    <t>Comps data directly pulled from FactSet without modification</t>
  </si>
  <si>
    <t>Treasury yield is forecasted based on the interest hike forecasting for 2018 &amp; 2019</t>
  </si>
  <si>
    <t>Outstanding Shares</t>
  </si>
  <si>
    <t>Net Deferred Tax Liabilities</t>
  </si>
  <si>
    <t>Net Other Operating Assets</t>
  </si>
  <si>
    <t>Intangibles</t>
  </si>
  <si>
    <t>Net other assets/net sales</t>
  </si>
  <si>
    <t>Progress Payments &amp; Other</t>
  </si>
  <si>
    <t>OCT '23</t>
  </si>
  <si>
    <t>OCT '22</t>
  </si>
  <si>
    <t>OCT '21</t>
  </si>
  <si>
    <t>OCT '20</t>
  </si>
  <si>
    <t>OCT '19</t>
  </si>
  <si>
    <t>OCT '18</t>
  </si>
  <si>
    <t>Restate</t>
  </si>
  <si>
    <t>Land &amp; Improvements</t>
  </si>
  <si>
    <t>Construction in Progress</t>
  </si>
  <si>
    <t>Leases</t>
  </si>
  <si>
    <t>Operating Lease Right-of-Use Assets</t>
  </si>
  <si>
    <t xml:space="preserve">Total Long-Term Investments </t>
  </si>
  <si>
    <t>Dividends Payable</t>
  </si>
  <si>
    <t>Long-Term Debt excl Lease Obligations</t>
  </si>
  <si>
    <t>Capital and Operating Lease Obligations</t>
  </si>
  <si>
    <t>Long-Term</t>
  </si>
  <si>
    <t>Equity</t>
  </si>
  <si>
    <t>Additional Paid-In Capital/Capital Surplus</t>
  </si>
  <si>
    <t>Treasury Stock</t>
  </si>
  <si>
    <t>Per Share</t>
  </si>
  <si>
    <t>Book Value per Share</t>
  </si>
  <si>
    <t>Tangible Book Value per Share</t>
  </si>
  <si>
    <t>All figures in millions of U.S. Dollar except per share items.</t>
  </si>
  <si>
    <t>Gross Interest Expense</t>
  </si>
  <si>
    <t>Impairments</t>
  </si>
  <si>
    <t>Financial Fixed Assets</t>
  </si>
  <si>
    <t>Restructuring Expense</t>
  </si>
  <si>
    <t>Unrealized Valuation Gain/Loss</t>
  </si>
  <si>
    <t>Investments</t>
  </si>
  <si>
    <t>Hedges/Derivatives</t>
  </si>
  <si>
    <t>Excpl Chrgs - Others</t>
  </si>
  <si>
    <t>Restructuring of Debt</t>
  </si>
  <si>
    <t>Net Income available to Common</t>
  </si>
  <si>
    <t>EPS (recurring)</t>
  </si>
  <si>
    <t>EPS (basic)</t>
  </si>
  <si>
    <t>Basic Shares Outstanding</t>
  </si>
  <si>
    <t>Total Shares Outstanding</t>
  </si>
  <si>
    <t>EPS (diluted)</t>
  </si>
  <si>
    <t>Diluted Shares Outstanding</t>
  </si>
  <si>
    <t>Earnings Persistence</t>
  </si>
  <si>
    <t>Dividends per Share</t>
  </si>
  <si>
    <t>Payout Ratio</t>
  </si>
  <si>
    <t>EBITDA</t>
  </si>
  <si>
    <t>EBIT</t>
  </si>
  <si>
    <t xml:space="preserve">AMAT Historical Balance Sheet </t>
  </si>
  <si>
    <t>AMAT Historical Income Statement</t>
  </si>
  <si>
    <t>Firm Value</t>
  </si>
  <si>
    <t xml:space="preserve">C34 credit spread obtained from Capital IQ </t>
  </si>
  <si>
    <t>KLA</t>
  </si>
  <si>
    <t>Lam Research</t>
  </si>
  <si>
    <t>ASML Holding</t>
  </si>
  <si>
    <t>Veeco Instruments</t>
  </si>
  <si>
    <t>ACM Research A</t>
  </si>
  <si>
    <t>Axcelis Technologies</t>
  </si>
  <si>
    <t>Nova</t>
  </si>
  <si>
    <t>Applied Materials</t>
  </si>
  <si>
    <t>AMAT Levered Bata</t>
  </si>
  <si>
    <t>AMAT Levered Beta based on comps</t>
  </si>
  <si>
    <t>10y Semi Cond-company A rating spread</t>
  </si>
  <si>
    <t>OCT'24</t>
  </si>
  <si>
    <t>OCT'25</t>
  </si>
  <si>
    <t>OCT'26</t>
  </si>
  <si>
    <t>OCT'27</t>
  </si>
  <si>
    <t>OCT'28</t>
  </si>
  <si>
    <t>OCT'29</t>
  </si>
  <si>
    <t>Capitalized Operating Leases(Hidden Asset)</t>
  </si>
  <si>
    <t>Capitalized operating leases(Debt Equivalent)</t>
  </si>
  <si>
    <t>Valued as of 10/29/23</t>
  </si>
  <si>
    <t>Multiples</t>
  </si>
  <si>
    <t>Price</t>
  </si>
  <si>
    <t>Price to</t>
  </si>
  <si>
    <t>Company</t>
  </si>
  <si>
    <t>Fiscal</t>
  </si>
  <si>
    <t>to Sales</t>
  </si>
  <si>
    <t>PEG</t>
  </si>
  <si>
    <t>EV/</t>
  </si>
  <si>
    <t>Ticker</t>
  </si>
  <si>
    <t>Period</t>
  </si>
  <si>
    <t>Actual (x)</t>
  </si>
  <si>
    <t>P/E (x)</t>
  </si>
  <si>
    <t>Ratio (x)</t>
  </si>
  <si>
    <t>P/BV (x)</t>
  </si>
  <si>
    <t>EBITDA (x)</t>
  </si>
  <si>
    <t>EBIT (x)</t>
  </si>
  <si>
    <t>Sales (x)</t>
  </si>
  <si>
    <t>AMAT-US</t>
  </si>
  <si>
    <t>07/28/2024</t>
  </si>
  <si>
    <t>KLAC-US</t>
  </si>
  <si>
    <t>06/2024</t>
  </si>
  <si>
    <t>LRCX-US</t>
  </si>
  <si>
    <t>ASML-NL</t>
  </si>
  <si>
    <t>06/30/2024</t>
  </si>
  <si>
    <t>VECO-US</t>
  </si>
  <si>
    <t>-</t>
  </si>
  <si>
    <t>ACLS-US</t>
  </si>
  <si>
    <t>ACMR-US</t>
  </si>
  <si>
    <t>PDF Solutions</t>
  </si>
  <si>
    <t>PDFS-US</t>
  </si>
  <si>
    <t>Median</t>
  </si>
  <si>
    <t>Currency Dropdown Widget</t>
  </si>
  <si>
    <t>NVMI-US</t>
  </si>
  <si>
    <t>Dupont Analysis</t>
  </si>
  <si>
    <t>Ratios</t>
  </si>
  <si>
    <t>Total</t>
  </si>
  <si>
    <t>Asset</t>
  </si>
  <si>
    <t>Net</t>
  </si>
  <si>
    <t>ROE (%)</t>
  </si>
  <si>
    <t>Turnover (x)</t>
  </si>
  <si>
    <t>Margin (%)</t>
  </si>
  <si>
    <t>Total Eq (x)</t>
  </si>
  <si>
    <t>Top Competitors</t>
  </si>
  <si>
    <t>Valuation</t>
  </si>
  <si>
    <t>Market Data ($)</t>
  </si>
  <si>
    <t>Valuation (x)</t>
  </si>
  <si>
    <t>EV/EBITDA (x)</t>
  </si>
  <si>
    <t>P/FCF (x)</t>
  </si>
  <si>
    <t>Enterprise</t>
  </si>
  <si>
    <t>Market</t>
  </si>
  <si>
    <t>Price/</t>
  </si>
  <si>
    <t>Div</t>
  </si>
  <si>
    <t>Analyst</t>
  </si>
  <si>
    <t>Target</t>
  </si>
  <si>
    <t>Value</t>
  </si>
  <si>
    <t>Debt</t>
  </si>
  <si>
    <t>FY1</t>
  </si>
  <si>
    <t>FY2</t>
  </si>
  <si>
    <t>Yield (%)</t>
  </si>
  <si>
    <t>Rating</t>
  </si>
  <si>
    <t>Overweight (1.40)</t>
  </si>
  <si>
    <t>Overweight (1.50)</t>
  </si>
  <si>
    <t>Overweight (1.39)</t>
  </si>
  <si>
    <t>Overweight (1.26)</t>
  </si>
  <si>
    <t>Overweight (1.43)</t>
  </si>
  <si>
    <t>Overweight (1.33)</t>
  </si>
  <si>
    <t>Buy (1.00)</t>
  </si>
  <si>
    <t>debt + equity equivalents</t>
  </si>
  <si>
    <t>IC + NOA</t>
  </si>
  <si>
    <t>Not on  WACC tab</t>
  </si>
  <si>
    <t>average</t>
  </si>
  <si>
    <t>Current</t>
  </si>
  <si>
    <t>Porters 5 forces</t>
  </si>
  <si>
    <t>GlobalFoundries</t>
  </si>
  <si>
    <t>Onto Innovation</t>
  </si>
  <si>
    <t>Teradyne</t>
  </si>
  <si>
    <t>5-10 year</t>
  </si>
  <si>
    <t>Compettive Rivalry</t>
  </si>
  <si>
    <t>Threat of subsitutes</t>
  </si>
  <si>
    <t xml:space="preserve">Threat of Entry </t>
  </si>
  <si>
    <t xml:space="preserve">Bargaining power of Buyers </t>
  </si>
  <si>
    <t xml:space="preserve">Bargaining power of Suppliers  </t>
  </si>
  <si>
    <t>DCF Porter Analysis for AMAT</t>
  </si>
  <si>
    <t>Hiver Porter Analysis for AMAT</t>
  </si>
  <si>
    <t>Porter Analysis of AMAT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</si>
</sst>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1" formatCode="_(* #,##0_);_(* \(#,##0\);_(* &quot;-&quot;_);_(@_)"/>
    <numFmt numFmtId="43" formatCode="_(* #,##0.00_);_(* \(#,##0.00\);_(* &quot;-&quot;??_);_(@_)"/>
    <numFmt numFmtId="164" formatCode="m/d;@"/>
    <numFmt numFmtId="165" formatCode="_(* #,##0_);_(* \(#,##0\);_(* &quot;-&quot;??_);_(@_)"/>
    <numFmt numFmtId="166" formatCode="0.0%"/>
    <numFmt numFmtId="167" formatCode="0.0000"/>
    <numFmt numFmtId="168" formatCode="#,###"/>
    <numFmt numFmtId="169" formatCode="##,###"/>
    <numFmt numFmtId="170" formatCode="##,0#0"/>
    <numFmt numFmtId="171" formatCode="0.0000%"/>
    <numFmt numFmtId="172" formatCode="0.000%"/>
    <numFmt numFmtId="173" formatCode="##.#%"/>
    <numFmt numFmtId="174" formatCode="#.##"/>
    <numFmt numFmtId="175" formatCode="#0.#%"/>
    <numFmt numFmtId="176" formatCode="#.#%"/>
    <numFmt numFmtId="177" formatCode="##.0%"/>
    <numFmt numFmtId="178" formatCode="#.0#"/>
    <numFmt numFmtId="179" formatCode="0.##"/>
    <numFmt numFmtId="180" formatCode="###.#%"/>
    <numFmt numFmtId="181" formatCode="##0.0%"/>
    <numFmt numFmtId="182" formatCode="#0.0%"/>
    <numFmt numFmtId="183" formatCode="#,##0.00\x"/>
    <numFmt numFmtId="184" formatCode="#,##0.00\%"/>
    <numFmt numFmtId="185" formatCode="#,##0.0"/>
    <numFmt numFmtId="186" formatCode="#,##0.0\%"/>
  </numFmts>
  <fonts count="34" x14ac:knownFonts="1">
    <font>
      <sz val="11"/>
      <color theme="1"/>
      <name val="Calibri"/>
      <family val="2"/>
      <scheme val="minor"/>
    </font>
    <font>
      <sz val="11"/>
      <color indexed="8"/>
      <name val="Calibri"/>
      <family val="2"/>
    </font>
    <font>
      <sz val="8"/>
      <name val="Calibri"/>
      <family val="2"/>
    </font>
    <font>
      <b/>
      <sz val="11"/>
      <name val="Calibri"/>
      <family val="2"/>
      <scheme val="minor"/>
    </font>
    <font>
      <b/>
      <u/>
      <sz val="10"/>
      <name val="Calibri"/>
      <family val="2"/>
      <scheme val="minor"/>
    </font>
    <font>
      <b/>
      <sz val="12"/>
      <name val="Calibri"/>
      <family val="2"/>
      <scheme val="minor"/>
    </font>
    <font>
      <b/>
      <sz val="10"/>
      <name val="Calibri"/>
      <family val="2"/>
      <scheme val="minor"/>
    </font>
    <font>
      <u/>
      <sz val="10"/>
      <name val="Calibri"/>
      <family val="2"/>
      <scheme val="minor"/>
    </font>
    <font>
      <u val="singleAccounting"/>
      <sz val="10"/>
      <name val="Calibri"/>
      <family val="2"/>
      <scheme val="minor"/>
    </font>
    <font>
      <sz val="10"/>
      <name val="Calibri"/>
      <family val="2"/>
      <scheme val="minor"/>
    </font>
    <font>
      <b/>
      <u/>
      <sz val="11"/>
      <name val="Calibri"/>
      <family val="2"/>
      <scheme val="minor"/>
    </font>
    <font>
      <sz val="11"/>
      <color theme="1"/>
      <name val="Calibri"/>
      <family val="2"/>
      <scheme val="minor"/>
    </font>
    <font>
      <sz val="10"/>
      <color theme="1"/>
      <name val="Calibri"/>
      <family val="2"/>
      <scheme val="minor"/>
    </font>
    <font>
      <b/>
      <sz val="11"/>
      <color theme="1"/>
      <name val="Calibri"/>
      <family val="2"/>
      <scheme val="minor"/>
    </font>
    <font>
      <sz val="10"/>
      <name val="Arial"/>
      <family val="2"/>
    </font>
    <font>
      <b/>
      <sz val="10"/>
      <color theme="1"/>
      <name val="Calibri"/>
      <family val="2"/>
      <scheme val="minor"/>
    </font>
    <font>
      <b/>
      <sz val="11.5"/>
      <name val="Calibri"/>
      <family val="2"/>
      <scheme val="minor"/>
    </font>
    <font>
      <b/>
      <sz val="12"/>
      <color theme="1"/>
      <name val="Calibri"/>
      <family val="2"/>
      <scheme val="minor"/>
    </font>
    <font>
      <sz val="11"/>
      <name val="Calibri"/>
      <family val="2"/>
      <scheme val="minor"/>
    </font>
    <font>
      <b/>
      <sz val="10"/>
      <name val="Arial"/>
      <family val="2"/>
    </font>
    <font>
      <sz val="12"/>
      <color theme="1"/>
      <name val="Calibri"/>
      <family val="2"/>
      <scheme val="minor"/>
    </font>
    <font>
      <b/>
      <sz val="10"/>
      <color rgb="FF003366"/>
      <name val="Arial"/>
      <family val="2"/>
    </font>
    <font>
      <sz val="10"/>
      <color rgb="FFFF0000"/>
      <name val="Arial"/>
      <family val="2"/>
    </font>
    <font>
      <sz val="11"/>
      <color rgb="FFFF0000"/>
      <name val="Calibri"/>
      <family val="2"/>
      <scheme val="minor"/>
    </font>
    <font>
      <b/>
      <sz val="26"/>
      <name val="Arial"/>
      <family val="2"/>
    </font>
    <font>
      <sz val="36"/>
      <name val="Calibri"/>
      <family val="2"/>
      <scheme val="minor"/>
    </font>
    <font>
      <b/>
      <sz val="14"/>
      <color theme="1"/>
      <name val="Calibri"/>
      <family val="2"/>
      <scheme val="minor"/>
    </font>
    <font>
      <b/>
      <sz val="24"/>
      <color theme="1"/>
      <name val="Calibri"/>
      <family val="2"/>
      <scheme val="minor"/>
    </font>
    <font>
      <b/>
      <sz val="10"/>
      <color rgb="FF0070C0"/>
      <name val="Calibri"/>
      <family val="2"/>
      <scheme val="minor"/>
    </font>
    <font>
      <b/>
      <sz val="10"/>
      <color theme="1"/>
      <name val="Arial"/>
      <family val="2"/>
    </font>
    <font>
      <sz val="10"/>
      <color theme="1"/>
      <name val="Arial"/>
      <family val="2"/>
    </font>
    <font>
      <sz val="10"/>
      <color rgb="FF646464"/>
      <name val="Arial"/>
      <family val="2"/>
    </font>
    <font>
      <sz val="8"/>
      <name val="Calibri"/>
      <family val="2"/>
      <scheme val="minor"/>
    </font>
    <font>
      <u/>
      <sz val="11"/>
      <color theme="10"/>
      <name val="Calibri"/>
      <family val="2"/>
      <scheme val="minor"/>
    </font>
  </fonts>
  <fills count="27">
    <fill>
      <patternFill patternType="none"/>
    </fill>
    <fill>
      <patternFill patternType="gray125"/>
    </fill>
    <fill>
      <patternFill patternType="solid">
        <fgColor theme="9" tint="0.39997558519241921"/>
        <bgColor indexed="64"/>
      </patternFill>
    </fill>
    <fill>
      <patternFill patternType="solid">
        <fgColor rgb="FFFFFFCC"/>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0F0F0"/>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C8C8C8"/>
        <bgColor indexed="64"/>
      </patternFill>
    </fill>
    <fill>
      <patternFill patternType="solid">
        <fgColor theme="1"/>
        <bgColor indexed="64"/>
      </patternFill>
    </fill>
    <fill>
      <patternFill patternType="solid">
        <fgColor theme="1" tint="0.499984740745262"/>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0" tint="-0.249977111117893"/>
        <bgColor indexed="64"/>
      </patternFill>
    </fill>
  </fills>
  <borders count="49">
    <border>
      <left/>
      <right/>
      <top/>
      <bottom/>
      <diagonal/>
    </border>
    <border>
      <left/>
      <right/>
      <top/>
      <bottom style="thin">
        <color indexed="64"/>
      </bottom>
      <diagonal/>
    </border>
    <border>
      <left/>
      <right/>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0">
    <xf numFmtId="0" fontId="0" fillId="0" borderId="0"/>
    <xf numFmtId="43"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43" fontId="11" fillId="0" borderId="0" applyFont="0" applyFill="0" applyBorder="0" applyAlignment="0" applyProtection="0"/>
    <xf numFmtId="0" fontId="14" fillId="0" borderId="0"/>
    <xf numFmtId="43" fontId="14" fillId="0" borderId="0" applyFont="0" applyFill="0" applyBorder="0" applyAlignment="0" applyProtection="0"/>
    <xf numFmtId="9" fontId="14" fillId="0" borderId="0" applyFont="0" applyFill="0" applyBorder="0" applyAlignment="0" applyProtection="0"/>
    <xf numFmtId="0" fontId="30" fillId="0" borderId="0"/>
    <xf numFmtId="0" fontId="33" fillId="0" borderId="0" applyNumberFormat="0" applyFill="0" applyBorder="0" applyAlignment="0" applyProtection="0"/>
  </cellStyleXfs>
  <cellXfs count="471">
    <xf numFmtId="0" fontId="0" fillId="0" borderId="0" xfId="0"/>
    <xf numFmtId="0" fontId="9" fillId="0" borderId="0" xfId="0" applyFont="1"/>
    <xf numFmtId="0" fontId="12" fillId="0" borderId="0" xfId="0" applyFont="1"/>
    <xf numFmtId="0" fontId="9" fillId="4" borderId="0" xfId="0" applyFont="1" applyFill="1"/>
    <xf numFmtId="41" fontId="9" fillId="4" borderId="0" xfId="1" applyNumberFormat="1" applyFont="1" applyFill="1"/>
    <xf numFmtId="41" fontId="9" fillId="4" borderId="0" xfId="0" applyNumberFormat="1" applyFont="1" applyFill="1"/>
    <xf numFmtId="41" fontId="9" fillId="4" borderId="1" xfId="1" applyNumberFormat="1" applyFont="1" applyFill="1" applyBorder="1"/>
    <xf numFmtId="41" fontId="8" fillId="4" borderId="0" xfId="1" applyNumberFormat="1" applyFont="1" applyFill="1"/>
    <xf numFmtId="41" fontId="12" fillId="4" borderId="0" xfId="0" applyNumberFormat="1" applyFont="1" applyFill="1"/>
    <xf numFmtId="0" fontId="12" fillId="4" borderId="0" xfId="0" applyFont="1" applyFill="1"/>
    <xf numFmtId="165" fontId="12" fillId="4" borderId="0" xfId="1" applyNumberFormat="1" applyFont="1" applyFill="1"/>
    <xf numFmtId="10" fontId="12" fillId="4" borderId="0" xfId="3" applyNumberFormat="1" applyFont="1" applyFill="1"/>
    <xf numFmtId="41" fontId="12" fillId="4" borderId="0" xfId="1" applyNumberFormat="1" applyFont="1" applyFill="1" applyBorder="1"/>
    <xf numFmtId="41" fontId="9" fillId="4" borderId="0" xfId="1" applyNumberFormat="1" applyFont="1" applyFill="1" applyBorder="1"/>
    <xf numFmtId="0" fontId="0" fillId="4" borderId="0" xfId="0" applyFill="1"/>
    <xf numFmtId="0" fontId="6" fillId="4" borderId="0" xfId="0" applyFont="1" applyFill="1" applyAlignment="1">
      <alignment horizontal="center"/>
    </xf>
    <xf numFmtId="0" fontId="9" fillId="4" borderId="15" xfId="0" applyFont="1" applyFill="1" applyBorder="1"/>
    <xf numFmtId="164" fontId="6" fillId="8" borderId="0" xfId="0" applyNumberFormat="1" applyFont="1" applyFill="1" applyAlignment="1">
      <alignment horizontal="center"/>
    </xf>
    <xf numFmtId="164" fontId="6" fillId="4" borderId="0" xfId="0" applyNumberFormat="1" applyFont="1" applyFill="1" applyAlignment="1">
      <alignment horizontal="center"/>
    </xf>
    <xf numFmtId="165" fontId="9" fillId="4" borderId="0" xfId="1" applyNumberFormat="1" applyFont="1" applyFill="1" applyBorder="1" applyAlignment="1">
      <alignment horizontal="right"/>
    </xf>
    <xf numFmtId="0" fontId="9" fillId="4" borderId="0" xfId="0" applyFont="1" applyFill="1" applyAlignment="1">
      <alignment horizontal="right"/>
    </xf>
    <xf numFmtId="0" fontId="9" fillId="4" borderId="10" xfId="0" applyFont="1" applyFill="1" applyBorder="1"/>
    <xf numFmtId="0" fontId="9" fillId="4" borderId="12" xfId="0" applyFont="1" applyFill="1" applyBorder="1"/>
    <xf numFmtId="41" fontId="9" fillId="4" borderId="11" xfId="1" applyNumberFormat="1" applyFont="1" applyFill="1" applyBorder="1"/>
    <xf numFmtId="0" fontId="6" fillId="4" borderId="7" xfId="0" applyFont="1" applyFill="1" applyBorder="1"/>
    <xf numFmtId="0" fontId="6" fillId="4" borderId="10" xfId="0" applyFont="1" applyFill="1" applyBorder="1"/>
    <xf numFmtId="0" fontId="6" fillId="4" borderId="29" xfId="0" applyFont="1" applyFill="1" applyBorder="1"/>
    <xf numFmtId="0" fontId="6" fillId="6" borderId="12" xfId="0" applyFont="1" applyFill="1" applyBorder="1"/>
    <xf numFmtId="41" fontId="6" fillId="6" borderId="4" xfId="0" applyNumberFormat="1" applyFont="1" applyFill="1" applyBorder="1"/>
    <xf numFmtId="41" fontId="6" fillId="6" borderId="28" xfId="0" applyNumberFormat="1" applyFont="1" applyFill="1" applyBorder="1"/>
    <xf numFmtId="0" fontId="5" fillId="8" borderId="7" xfId="0" applyFont="1" applyFill="1" applyBorder="1" applyAlignment="1">
      <alignment horizontal="center"/>
    </xf>
    <xf numFmtId="164" fontId="6" fillId="8" borderId="11" xfId="0" applyNumberFormat="1" applyFont="1" applyFill="1" applyBorder="1" applyAlignment="1">
      <alignment horizontal="center"/>
    </xf>
    <xf numFmtId="41" fontId="9" fillId="4" borderId="27" xfId="1" applyNumberFormat="1" applyFont="1" applyFill="1" applyBorder="1"/>
    <xf numFmtId="41" fontId="6" fillId="6" borderId="2" xfId="1" applyNumberFormat="1" applyFont="1" applyFill="1" applyBorder="1"/>
    <xf numFmtId="0" fontId="6" fillId="3" borderId="33" xfId="0" applyFont="1" applyFill="1" applyBorder="1"/>
    <xf numFmtId="41" fontId="6" fillId="6" borderId="13" xfId="1" applyNumberFormat="1" applyFont="1" applyFill="1" applyBorder="1"/>
    <xf numFmtId="41" fontId="6" fillId="3" borderId="3" xfId="0" applyNumberFormat="1" applyFont="1" applyFill="1" applyBorder="1"/>
    <xf numFmtId="41" fontId="6" fillId="3" borderId="34" xfId="0" applyNumberFormat="1" applyFont="1" applyFill="1" applyBorder="1"/>
    <xf numFmtId="0" fontId="6" fillId="6" borderId="22" xfId="0" applyFont="1" applyFill="1" applyBorder="1"/>
    <xf numFmtId="0" fontId="9" fillId="4" borderId="15" xfId="0" applyFont="1" applyFill="1" applyBorder="1" applyAlignment="1">
      <alignment horizontal="left"/>
    </xf>
    <xf numFmtId="0" fontId="9" fillId="4" borderId="18" xfId="0" applyFont="1" applyFill="1" applyBorder="1" applyAlignment="1">
      <alignment horizontal="right"/>
    </xf>
    <xf numFmtId="0" fontId="9" fillId="8" borderId="8" xfId="0" applyFont="1" applyFill="1" applyBorder="1"/>
    <xf numFmtId="0" fontId="9" fillId="8" borderId="9" xfId="0" applyFont="1" applyFill="1" applyBorder="1"/>
    <xf numFmtId="0" fontId="9" fillId="8" borderId="10" xfId="0" applyFont="1" applyFill="1" applyBorder="1" applyAlignment="1">
      <alignment horizontal="center"/>
    </xf>
    <xf numFmtId="0" fontId="4" fillId="8" borderId="12" xfId="0" applyFont="1" applyFill="1" applyBorder="1"/>
    <xf numFmtId="0" fontId="12" fillId="8" borderId="8" xfId="0" applyFont="1" applyFill="1" applyBorder="1"/>
    <xf numFmtId="0" fontId="6" fillId="8" borderId="8" xfId="0" applyFont="1" applyFill="1" applyBorder="1" applyAlignment="1">
      <alignment horizontal="center"/>
    </xf>
    <xf numFmtId="0" fontId="12" fillId="8" borderId="9" xfId="0" applyFont="1" applyFill="1" applyBorder="1"/>
    <xf numFmtId="0" fontId="12" fillId="8" borderId="10" xfId="0" applyFont="1" applyFill="1" applyBorder="1" applyAlignment="1">
      <alignment horizontal="center"/>
    </xf>
    <xf numFmtId="0" fontId="12" fillId="4" borderId="10" xfId="0" applyFont="1" applyFill="1" applyBorder="1"/>
    <xf numFmtId="0" fontId="12" fillId="4" borderId="12" xfId="0" applyFont="1" applyFill="1" applyBorder="1"/>
    <xf numFmtId="0" fontId="12" fillId="8" borderId="7" xfId="0" applyFont="1" applyFill="1" applyBorder="1"/>
    <xf numFmtId="164" fontId="6" fillId="8" borderId="8" xfId="0" applyNumberFormat="1" applyFont="1" applyFill="1" applyBorder="1" applyAlignment="1">
      <alignment horizontal="center"/>
    </xf>
    <xf numFmtId="164" fontId="6" fillId="8" borderId="9" xfId="0" applyNumberFormat="1" applyFont="1" applyFill="1" applyBorder="1" applyAlignment="1">
      <alignment horizontal="center"/>
    </xf>
    <xf numFmtId="0" fontId="15" fillId="3" borderId="33" xfId="0" applyFont="1" applyFill="1" applyBorder="1" applyAlignment="1">
      <alignment horizontal="left" indent="1"/>
    </xf>
    <xf numFmtId="0" fontId="15" fillId="4" borderId="10" xfId="0" applyFont="1" applyFill="1" applyBorder="1"/>
    <xf numFmtId="0" fontId="3" fillId="8" borderId="12" xfId="0" applyFont="1" applyFill="1" applyBorder="1" applyAlignment="1">
      <alignment horizontal="center"/>
    </xf>
    <xf numFmtId="0" fontId="15" fillId="3" borderId="33" xfId="0" applyFont="1" applyFill="1" applyBorder="1"/>
    <xf numFmtId="41" fontId="6" fillId="3" borderId="3" xfId="4" applyNumberFormat="1" applyFont="1" applyFill="1" applyBorder="1" applyAlignment="1">
      <alignment horizontal="right"/>
    </xf>
    <xf numFmtId="41" fontId="6" fillId="3" borderId="34" xfId="4" applyNumberFormat="1" applyFont="1" applyFill="1" applyBorder="1" applyAlignment="1">
      <alignment horizontal="right"/>
    </xf>
    <xf numFmtId="0" fontId="6" fillId="9" borderId="22" xfId="0" applyFont="1" applyFill="1" applyBorder="1"/>
    <xf numFmtId="10" fontId="15" fillId="9" borderId="4" xfId="2" applyNumberFormat="1" applyFont="1" applyFill="1" applyBorder="1"/>
    <xf numFmtId="41" fontId="15" fillId="3" borderId="3" xfId="0" applyNumberFormat="1" applyFont="1" applyFill="1" applyBorder="1"/>
    <xf numFmtId="41" fontId="15" fillId="3" borderId="34" xfId="0" applyNumberFormat="1" applyFont="1" applyFill="1" applyBorder="1"/>
    <xf numFmtId="0" fontId="6" fillId="9" borderId="33" xfId="0" applyFont="1" applyFill="1" applyBorder="1"/>
    <xf numFmtId="41" fontId="6" fillId="9" borderId="3" xfId="1" applyNumberFormat="1" applyFont="1" applyFill="1" applyBorder="1"/>
    <xf numFmtId="41" fontId="6" fillId="9" borderId="34" xfId="1" applyNumberFormat="1" applyFont="1" applyFill="1" applyBorder="1"/>
    <xf numFmtId="0" fontId="16" fillId="8" borderId="7" xfId="0" applyFont="1" applyFill="1" applyBorder="1" applyAlignment="1">
      <alignment horizontal="center"/>
    </xf>
    <xf numFmtId="0" fontId="12" fillId="8" borderId="12" xfId="0" applyFont="1" applyFill="1" applyBorder="1"/>
    <xf numFmtId="0" fontId="12" fillId="4" borderId="7" xfId="0" applyFont="1" applyFill="1" applyBorder="1"/>
    <xf numFmtId="41" fontId="12" fillId="4" borderId="8" xfId="1" applyNumberFormat="1" applyFont="1" applyFill="1" applyBorder="1"/>
    <xf numFmtId="41" fontId="12" fillId="4" borderId="11" xfId="1" applyNumberFormat="1" applyFont="1" applyFill="1" applyBorder="1"/>
    <xf numFmtId="41" fontId="12" fillId="4" borderId="2" xfId="0" applyNumberFormat="1" applyFont="1" applyFill="1" applyBorder="1"/>
    <xf numFmtId="41" fontId="12" fillId="4" borderId="13" xfId="0" applyNumberFormat="1" applyFont="1" applyFill="1" applyBorder="1"/>
    <xf numFmtId="0" fontId="9" fillId="0" borderId="17" xfId="0" applyFont="1" applyBorder="1"/>
    <xf numFmtId="10" fontId="12" fillId="4" borderId="0" xfId="3" applyNumberFormat="1" applyFont="1" applyFill="1" applyBorder="1"/>
    <xf numFmtId="0" fontId="12" fillId="0" borderId="10" xfId="0" applyFont="1" applyBorder="1"/>
    <xf numFmtId="10" fontId="15" fillId="0" borderId="0" xfId="2" applyNumberFormat="1" applyFont="1" applyFill="1" applyBorder="1"/>
    <xf numFmtId="0" fontId="15" fillId="4" borderId="0" xfId="0" applyFont="1" applyFill="1"/>
    <xf numFmtId="0" fontId="15" fillId="4" borderId="7" xfId="0" applyFont="1" applyFill="1" applyBorder="1"/>
    <xf numFmtId="10" fontId="15" fillId="4" borderId="0" xfId="2" applyNumberFormat="1" applyFont="1" applyFill="1" applyBorder="1"/>
    <xf numFmtId="41" fontId="15" fillId="4" borderId="0" xfId="2" applyNumberFormat="1" applyFont="1" applyFill="1" applyBorder="1"/>
    <xf numFmtId="0" fontId="15" fillId="9" borderId="22" xfId="0" applyFont="1" applyFill="1" applyBorder="1"/>
    <xf numFmtId="41" fontId="15" fillId="9" borderId="4" xfId="2" applyNumberFormat="1" applyFont="1" applyFill="1" applyBorder="1"/>
    <xf numFmtId="41" fontId="15" fillId="9" borderId="28" xfId="2" applyNumberFormat="1" applyFont="1" applyFill="1" applyBorder="1"/>
    <xf numFmtId="10" fontId="12" fillId="4" borderId="11" xfId="3" applyNumberFormat="1" applyFont="1" applyFill="1" applyBorder="1"/>
    <xf numFmtId="37" fontId="12" fillId="4" borderId="7" xfId="0" applyNumberFormat="1" applyFont="1" applyFill="1" applyBorder="1"/>
    <xf numFmtId="37" fontId="12" fillId="4" borderId="8" xfId="0" applyNumberFormat="1" applyFont="1" applyFill="1" applyBorder="1"/>
    <xf numFmtId="37" fontId="12" fillId="4" borderId="9" xfId="0" applyNumberFormat="1" applyFont="1" applyFill="1" applyBorder="1"/>
    <xf numFmtId="37" fontId="12" fillId="4" borderId="10" xfId="0" applyNumberFormat="1" applyFont="1" applyFill="1" applyBorder="1"/>
    <xf numFmtId="37" fontId="12" fillId="4" borderId="0" xfId="0" applyNumberFormat="1" applyFont="1" applyFill="1"/>
    <xf numFmtId="37" fontId="12" fillId="4" borderId="11" xfId="0" applyNumberFormat="1" applyFont="1" applyFill="1" applyBorder="1"/>
    <xf numFmtId="10" fontId="12" fillId="4" borderId="0" xfId="2" applyNumberFormat="1" applyFont="1" applyFill="1" applyBorder="1" applyAlignment="1"/>
    <xf numFmtId="10" fontId="12" fillId="4" borderId="11" xfId="2" applyNumberFormat="1" applyFont="1" applyFill="1" applyBorder="1" applyAlignment="1"/>
    <xf numFmtId="41" fontId="12" fillId="4" borderId="24" xfId="0" applyNumberFormat="1" applyFont="1" applyFill="1" applyBorder="1"/>
    <xf numFmtId="41" fontId="12" fillId="4" borderId="21" xfId="0" applyNumberFormat="1" applyFont="1" applyFill="1" applyBorder="1"/>
    <xf numFmtId="41" fontId="12" fillId="4" borderId="25" xfId="0" applyNumberFormat="1" applyFont="1" applyFill="1" applyBorder="1"/>
    <xf numFmtId="0" fontId="6" fillId="9" borderId="12" xfId="0" applyFont="1" applyFill="1" applyBorder="1"/>
    <xf numFmtId="10" fontId="15" fillId="9" borderId="2" xfId="2" applyNumberFormat="1" applyFont="1" applyFill="1" applyBorder="1"/>
    <xf numFmtId="41" fontId="15" fillId="9" borderId="4" xfId="0" applyNumberFormat="1" applyFont="1" applyFill="1" applyBorder="1"/>
    <xf numFmtId="41" fontId="15" fillId="9" borderId="28" xfId="0" applyNumberFormat="1" applyFont="1" applyFill="1" applyBorder="1"/>
    <xf numFmtId="41" fontId="15" fillId="4" borderId="8" xfId="1" applyNumberFormat="1" applyFont="1" applyFill="1" applyBorder="1"/>
    <xf numFmtId="41" fontId="15" fillId="4" borderId="9" xfId="1" applyNumberFormat="1" applyFont="1" applyFill="1" applyBorder="1"/>
    <xf numFmtId="10" fontId="15" fillId="4" borderId="1" xfId="3" applyNumberFormat="1" applyFont="1" applyFill="1" applyBorder="1"/>
    <xf numFmtId="10" fontId="15" fillId="4" borderId="27" xfId="3" applyNumberFormat="1" applyFont="1" applyFill="1" applyBorder="1"/>
    <xf numFmtId="2" fontId="15" fillId="4" borderId="0" xfId="3" applyNumberFormat="1" applyFont="1" applyFill="1" applyBorder="1"/>
    <xf numFmtId="10" fontId="15" fillId="4" borderId="0" xfId="3" applyNumberFormat="1" applyFont="1" applyFill="1" applyBorder="1"/>
    <xf numFmtId="10" fontId="15" fillId="4" borderId="11" xfId="3" applyNumberFormat="1" applyFont="1" applyFill="1" applyBorder="1"/>
    <xf numFmtId="166" fontId="15" fillId="4" borderId="0" xfId="0" applyNumberFormat="1" applyFont="1" applyFill="1"/>
    <xf numFmtId="166" fontId="12" fillId="4" borderId="0" xfId="0" applyNumberFormat="1" applyFont="1" applyFill="1"/>
    <xf numFmtId="10" fontId="12" fillId="4" borderId="10" xfId="3" applyNumberFormat="1" applyFont="1" applyFill="1" applyBorder="1"/>
    <xf numFmtId="41" fontId="9" fillId="4" borderId="10" xfId="1" applyNumberFormat="1" applyFont="1" applyFill="1" applyBorder="1"/>
    <xf numFmtId="166" fontId="12" fillId="4" borderId="11" xfId="0" applyNumberFormat="1" applyFont="1" applyFill="1" applyBorder="1"/>
    <xf numFmtId="166" fontId="12" fillId="4" borderId="2" xfId="0" applyNumberFormat="1" applyFont="1" applyFill="1" applyBorder="1"/>
    <xf numFmtId="166" fontId="12" fillId="4" borderId="13" xfId="0" applyNumberFormat="1" applyFont="1" applyFill="1" applyBorder="1"/>
    <xf numFmtId="10" fontId="15" fillId="9" borderId="3" xfId="3" applyNumberFormat="1" applyFont="1" applyFill="1" applyBorder="1"/>
    <xf numFmtId="10" fontId="15" fillId="10" borderId="33" xfId="3" applyNumberFormat="1" applyFont="1" applyFill="1" applyBorder="1"/>
    <xf numFmtId="10" fontId="15" fillId="10" borderId="3" xfId="3" applyNumberFormat="1" applyFont="1" applyFill="1" applyBorder="1"/>
    <xf numFmtId="10" fontId="15" fillId="10" borderId="34" xfId="3" applyNumberFormat="1" applyFont="1" applyFill="1" applyBorder="1"/>
    <xf numFmtId="41" fontId="15" fillId="10" borderId="22" xfId="0" applyNumberFormat="1" applyFont="1" applyFill="1" applyBorder="1"/>
    <xf numFmtId="41" fontId="15" fillId="10" borderId="4" xfId="0" applyNumberFormat="1" applyFont="1" applyFill="1" applyBorder="1"/>
    <xf numFmtId="41" fontId="15" fillId="10" borderId="28" xfId="0" applyNumberFormat="1" applyFont="1" applyFill="1" applyBorder="1"/>
    <xf numFmtId="41" fontId="12" fillId="4" borderId="2" xfId="1" applyNumberFormat="1" applyFont="1" applyFill="1" applyBorder="1"/>
    <xf numFmtId="10" fontId="12" fillId="9" borderId="3" xfId="3" applyNumberFormat="1" applyFont="1" applyFill="1" applyBorder="1"/>
    <xf numFmtId="41" fontId="12" fillId="9" borderId="3" xfId="1" applyNumberFormat="1" applyFont="1" applyFill="1" applyBorder="1"/>
    <xf numFmtId="41" fontId="15" fillId="4" borderId="7" xfId="1" applyNumberFormat="1" applyFont="1" applyFill="1" applyBorder="1"/>
    <xf numFmtId="10" fontId="15" fillId="4" borderId="10" xfId="3" applyNumberFormat="1" applyFont="1" applyFill="1" applyBorder="1"/>
    <xf numFmtId="3" fontId="15" fillId="10" borderId="8" xfId="0" applyNumberFormat="1" applyFont="1" applyFill="1" applyBorder="1" applyAlignment="1">
      <alignment horizontal="center"/>
    </xf>
    <xf numFmtId="3" fontId="15" fillId="10" borderId="9" xfId="0" applyNumberFormat="1" applyFont="1" applyFill="1" applyBorder="1" applyAlignment="1">
      <alignment horizontal="center"/>
    </xf>
    <xf numFmtId="0" fontId="12" fillId="9" borderId="33" xfId="0" applyFont="1" applyFill="1" applyBorder="1"/>
    <xf numFmtId="0" fontId="15" fillId="9" borderId="33" xfId="0" applyFont="1" applyFill="1" applyBorder="1"/>
    <xf numFmtId="0" fontId="15" fillId="10" borderId="30" xfId="0" applyFont="1" applyFill="1" applyBorder="1"/>
    <xf numFmtId="41" fontId="15" fillId="10" borderId="31" xfId="1" applyNumberFormat="1" applyFont="1" applyFill="1" applyBorder="1"/>
    <xf numFmtId="0" fontId="15" fillId="10" borderId="33" xfId="0" applyFont="1" applyFill="1" applyBorder="1"/>
    <xf numFmtId="0" fontId="12" fillId="9" borderId="22" xfId="0" applyFont="1" applyFill="1" applyBorder="1"/>
    <xf numFmtId="10" fontId="15" fillId="9" borderId="4" xfId="3" applyNumberFormat="1" applyFont="1" applyFill="1" applyBorder="1"/>
    <xf numFmtId="0" fontId="6" fillId="10" borderId="33" xfId="0" applyFont="1" applyFill="1" applyBorder="1"/>
    <xf numFmtId="0" fontId="15" fillId="10" borderId="22" xfId="0" applyFont="1" applyFill="1" applyBorder="1"/>
    <xf numFmtId="10" fontId="6" fillId="5" borderId="6" xfId="2" applyNumberFormat="1" applyFont="1" applyFill="1" applyBorder="1" applyAlignment="1">
      <alignment horizontal="center"/>
    </xf>
    <xf numFmtId="165" fontId="6" fillId="5" borderId="0" xfId="1" applyNumberFormat="1" applyFont="1" applyFill="1" applyBorder="1" applyAlignment="1">
      <alignment horizontal="right"/>
    </xf>
    <xf numFmtId="0" fontId="6" fillId="5" borderId="0" xfId="0" applyFont="1" applyFill="1" applyAlignment="1">
      <alignment horizontal="right"/>
    </xf>
    <xf numFmtId="0" fontId="6" fillId="5" borderId="18" xfId="0" applyFont="1" applyFill="1" applyBorder="1" applyAlignment="1">
      <alignment horizontal="right"/>
    </xf>
    <xf numFmtId="165" fontId="6" fillId="5" borderId="18" xfId="1" applyNumberFormat="1" applyFont="1" applyFill="1" applyBorder="1" applyAlignment="1">
      <alignment horizontal="right"/>
    </xf>
    <xf numFmtId="0" fontId="6" fillId="5" borderId="1" xfId="0" applyFont="1" applyFill="1" applyBorder="1" applyAlignment="1">
      <alignment horizontal="right"/>
    </xf>
    <xf numFmtId="165" fontId="6" fillId="5" borderId="1" xfId="1" applyNumberFormat="1" applyFont="1" applyFill="1" applyBorder="1" applyAlignment="1">
      <alignment horizontal="right"/>
    </xf>
    <xf numFmtId="0" fontId="14" fillId="0" borderId="0" xfId="5" applyAlignment="1">
      <alignment horizontal="center"/>
    </xf>
    <xf numFmtId="166" fontId="15" fillId="5" borderId="38" xfId="0" applyNumberFormat="1" applyFont="1" applyFill="1" applyBorder="1"/>
    <xf numFmtId="166" fontId="15" fillId="5" borderId="5" xfId="0" applyNumberFormat="1" applyFont="1" applyFill="1" applyBorder="1"/>
    <xf numFmtId="0" fontId="14" fillId="4" borderId="0" xfId="5" applyFill="1" applyAlignment="1">
      <alignment horizontal="center"/>
    </xf>
    <xf numFmtId="0" fontId="6" fillId="4" borderId="15" xfId="0" applyFont="1" applyFill="1" applyBorder="1" applyAlignment="1">
      <alignment horizontal="center"/>
    </xf>
    <xf numFmtId="0" fontId="6" fillId="4" borderId="6" xfId="0" applyFont="1" applyFill="1" applyBorder="1" applyAlignment="1">
      <alignment horizontal="center"/>
    </xf>
    <xf numFmtId="0" fontId="6" fillId="4" borderId="23" xfId="0" applyFont="1" applyFill="1" applyBorder="1" applyAlignment="1">
      <alignment horizontal="center"/>
    </xf>
    <xf numFmtId="0" fontId="13" fillId="4" borderId="14" xfId="0" applyFont="1" applyFill="1" applyBorder="1" applyAlignment="1">
      <alignment horizontal="center"/>
    </xf>
    <xf numFmtId="166" fontId="0" fillId="4" borderId="0" xfId="0" applyNumberFormat="1" applyFill="1" applyAlignment="1">
      <alignment horizontal="center"/>
    </xf>
    <xf numFmtId="0" fontId="13" fillId="6" borderId="15" xfId="0" applyFont="1" applyFill="1" applyBorder="1"/>
    <xf numFmtId="0" fontId="13" fillId="6" borderId="6" xfId="0" applyFont="1" applyFill="1" applyBorder="1"/>
    <xf numFmtId="0" fontId="13" fillId="6" borderId="16" xfId="0" applyFont="1" applyFill="1" applyBorder="1"/>
    <xf numFmtId="10" fontId="13" fillId="6" borderId="19" xfId="0" applyNumberFormat="1" applyFont="1" applyFill="1" applyBorder="1" applyAlignment="1">
      <alignment horizontal="center"/>
    </xf>
    <xf numFmtId="10" fontId="13" fillId="6" borderId="1" xfId="0" applyNumberFormat="1" applyFont="1" applyFill="1" applyBorder="1" applyAlignment="1">
      <alignment horizontal="center"/>
    </xf>
    <xf numFmtId="10" fontId="13" fillId="6" borderId="20" xfId="0" applyNumberFormat="1" applyFont="1" applyFill="1" applyBorder="1" applyAlignment="1">
      <alignment horizontal="center"/>
    </xf>
    <xf numFmtId="0" fontId="0" fillId="4" borderId="0" xfId="0" applyFill="1" applyAlignment="1">
      <alignment horizontal="right"/>
    </xf>
    <xf numFmtId="10" fontId="0" fillId="4" borderId="11" xfId="0" applyNumberFormat="1" applyFill="1" applyBorder="1"/>
    <xf numFmtId="37" fontId="0" fillId="4" borderId="11" xfId="0" applyNumberFormat="1" applyFill="1" applyBorder="1" applyAlignment="1">
      <alignment horizontal="right"/>
    </xf>
    <xf numFmtId="41" fontId="0" fillId="4" borderId="11" xfId="0" applyNumberFormat="1" applyFill="1" applyBorder="1"/>
    <xf numFmtId="37" fontId="0" fillId="4" borderId="32" xfId="0" applyNumberFormat="1" applyFill="1" applyBorder="1"/>
    <xf numFmtId="0" fontId="0" fillId="4" borderId="11" xfId="0" applyFill="1" applyBorder="1"/>
    <xf numFmtId="37" fontId="13" fillId="4" borderId="10" xfId="0" applyNumberFormat="1" applyFont="1" applyFill="1" applyBorder="1" applyAlignment="1">
      <alignment horizontal="right"/>
    </xf>
    <xf numFmtId="0" fontId="13" fillId="4" borderId="10" xfId="0" applyFont="1" applyFill="1" applyBorder="1"/>
    <xf numFmtId="0" fontId="13" fillId="4" borderId="10" xfId="0" applyFont="1" applyFill="1" applyBorder="1" applyAlignment="1">
      <alignment horizontal="right"/>
    </xf>
    <xf numFmtId="0" fontId="13" fillId="4" borderId="24" xfId="0" applyFont="1" applyFill="1" applyBorder="1" applyAlignment="1">
      <alignment horizontal="right"/>
    </xf>
    <xf numFmtId="43" fontId="13" fillId="4" borderId="25" xfId="0" applyNumberFormat="1" applyFont="1" applyFill="1" applyBorder="1"/>
    <xf numFmtId="165" fontId="6" fillId="5" borderId="20" xfId="1" applyNumberFormat="1" applyFont="1" applyFill="1" applyBorder="1" applyAlignment="1">
      <alignment horizontal="right"/>
    </xf>
    <xf numFmtId="41" fontId="13" fillId="9" borderId="3" xfId="0" applyNumberFormat="1" applyFont="1" applyFill="1" applyBorder="1"/>
    <xf numFmtId="41" fontId="13" fillId="9" borderId="14" xfId="0" applyNumberFormat="1" applyFont="1" applyFill="1" applyBorder="1"/>
    <xf numFmtId="1" fontId="9" fillId="4" borderId="17" xfId="0" applyNumberFormat="1" applyFont="1" applyFill="1" applyBorder="1" applyAlignment="1">
      <alignment horizontal="right"/>
    </xf>
    <xf numFmtId="1" fontId="6" fillId="8" borderId="2" xfId="0" applyNumberFormat="1" applyFont="1" applyFill="1" applyBorder="1" applyAlignment="1">
      <alignment horizontal="center"/>
    </xf>
    <xf numFmtId="1" fontId="6" fillId="8" borderId="13" xfId="0" applyNumberFormat="1" applyFont="1" applyFill="1" applyBorder="1" applyAlignment="1">
      <alignment horizontal="center"/>
    </xf>
    <xf numFmtId="0" fontId="6" fillId="8" borderId="2" xfId="1" applyNumberFormat="1" applyFont="1" applyFill="1" applyBorder="1" applyAlignment="1">
      <alignment horizontal="center"/>
    </xf>
    <xf numFmtId="0" fontId="6" fillId="8" borderId="13" xfId="1" applyNumberFormat="1" applyFont="1" applyFill="1" applyBorder="1" applyAlignment="1">
      <alignment horizontal="center"/>
    </xf>
    <xf numFmtId="1" fontId="6" fillId="6" borderId="12" xfId="0" applyNumberFormat="1" applyFont="1" applyFill="1" applyBorder="1" applyAlignment="1">
      <alignment horizontal="center"/>
    </xf>
    <xf numFmtId="1" fontId="6" fillId="6" borderId="2" xfId="0" applyNumberFormat="1" applyFont="1" applyFill="1" applyBorder="1" applyAlignment="1">
      <alignment horizontal="center"/>
    </xf>
    <xf numFmtId="1" fontId="6" fillId="6" borderId="13" xfId="0" applyNumberFormat="1" applyFont="1" applyFill="1" applyBorder="1" applyAlignment="1">
      <alignment horizontal="center"/>
    </xf>
    <xf numFmtId="0" fontId="15" fillId="5" borderId="39" xfId="0" applyFont="1" applyFill="1" applyBorder="1" applyAlignment="1">
      <alignment horizontal="center"/>
    </xf>
    <xf numFmtId="41" fontId="8" fillId="0" borderId="0" xfId="1" applyNumberFormat="1" applyFont="1" applyFill="1"/>
    <xf numFmtId="37" fontId="0" fillId="4" borderId="11" xfId="0" applyNumberFormat="1" applyFill="1" applyBorder="1"/>
    <xf numFmtId="41" fontId="0" fillId="4" borderId="36" xfId="0" applyNumberFormat="1" applyFill="1" applyBorder="1"/>
    <xf numFmtId="0" fontId="15" fillId="7" borderId="8" xfId="0" applyFont="1" applyFill="1" applyBorder="1" applyAlignment="1">
      <alignment horizontal="center"/>
    </xf>
    <xf numFmtId="166" fontId="15" fillId="9" borderId="13" xfId="2" applyNumberFormat="1" applyFont="1" applyFill="1" applyBorder="1"/>
    <xf numFmtId="0" fontId="0" fillId="0" borderId="0" xfId="0" applyAlignment="1">
      <alignment horizontal="center"/>
    </xf>
    <xf numFmtId="0" fontId="0" fillId="0" borderId="7" xfId="0" applyBorder="1" applyAlignment="1">
      <alignment horizontal="center"/>
    </xf>
    <xf numFmtId="0" fontId="0" fillId="0" borderId="8" xfId="0" applyBorder="1" applyAlignment="1">
      <alignment horizontal="center"/>
    </xf>
    <xf numFmtId="0" fontId="19" fillId="0" borderId="8" xfId="0" applyFont="1" applyBorder="1" applyAlignment="1">
      <alignment horizontal="center"/>
    </xf>
    <xf numFmtId="0" fontId="0" fillId="0" borderId="12" xfId="0" applyBorder="1" applyAlignment="1">
      <alignment horizontal="center" wrapText="1"/>
    </xf>
    <xf numFmtId="2" fontId="14" fillId="0" borderId="2" xfId="0" applyNumberFormat="1" applyFont="1" applyBorder="1" applyAlignment="1">
      <alignment horizontal="center"/>
    </xf>
    <xf numFmtId="2" fontId="14" fillId="12" borderId="40" xfId="5" applyNumberFormat="1" applyFill="1" applyBorder="1" applyAlignment="1">
      <alignment horizontal="center"/>
    </xf>
    <xf numFmtId="0" fontId="19" fillId="0" borderId="30" xfId="5" applyFont="1" applyBorder="1" applyAlignment="1">
      <alignment horizontal="center"/>
    </xf>
    <xf numFmtId="0" fontId="19" fillId="0" borderId="39" xfId="5" applyFont="1" applyBorder="1" applyAlignment="1">
      <alignment horizontal="center"/>
    </xf>
    <xf numFmtId="2" fontId="19" fillId="0" borderId="39" xfId="5" applyNumberFormat="1" applyFont="1" applyBorder="1" applyAlignment="1">
      <alignment horizontal="center"/>
    </xf>
    <xf numFmtId="2" fontId="19" fillId="0" borderId="42" xfId="5" applyNumberFormat="1" applyFont="1" applyBorder="1" applyAlignment="1">
      <alignment horizontal="center"/>
    </xf>
    <xf numFmtId="0" fontId="19" fillId="0" borderId="22" xfId="5" applyFont="1" applyBorder="1" applyAlignment="1">
      <alignment horizontal="center"/>
    </xf>
    <xf numFmtId="10" fontId="19" fillId="0" borderId="40" xfId="5" applyNumberFormat="1" applyFont="1" applyBorder="1" applyAlignment="1">
      <alignment horizontal="center"/>
    </xf>
    <xf numFmtId="0" fontId="19" fillId="0" borderId="40" xfId="5" applyFont="1" applyBorder="1" applyAlignment="1">
      <alignment horizontal="center"/>
    </xf>
    <xf numFmtId="0" fontId="0" fillId="0" borderId="10" xfId="0" applyBorder="1" applyAlignment="1">
      <alignment horizontal="center"/>
    </xf>
    <xf numFmtId="171" fontId="0" fillId="13" borderId="0" xfId="0" applyNumberFormat="1" applyFill="1" applyAlignment="1">
      <alignment horizontal="center"/>
    </xf>
    <xf numFmtId="10" fontId="11" fillId="0" borderId="0" xfId="2" applyNumberFormat="1" applyFont="1" applyBorder="1" applyAlignment="1">
      <alignment horizontal="center"/>
    </xf>
    <xf numFmtId="10" fontId="11" fillId="0" borderId="11" xfId="2" applyNumberFormat="1" applyFont="1" applyBorder="1" applyAlignment="1">
      <alignment horizontal="center"/>
    </xf>
    <xf numFmtId="0" fontId="0" fillId="0" borderId="9" xfId="0" applyBorder="1" applyAlignment="1">
      <alignment horizontal="center"/>
    </xf>
    <xf numFmtId="0" fontId="23" fillId="0" borderId="12" xfId="0" applyFont="1" applyBorder="1" applyAlignment="1">
      <alignment horizontal="center"/>
    </xf>
    <xf numFmtId="10" fontId="23" fillId="0" borderId="2" xfId="2" applyNumberFormat="1" applyFont="1" applyBorder="1" applyAlignment="1">
      <alignment horizontal="center"/>
    </xf>
    <xf numFmtId="10" fontId="23" fillId="0" borderId="2" xfId="2" applyNumberFormat="1" applyFont="1" applyFill="1" applyBorder="1" applyAlignment="1">
      <alignment horizontal="center"/>
    </xf>
    <xf numFmtId="10" fontId="23" fillId="0" borderId="13" xfId="2" applyNumberFormat="1" applyFont="1" applyBorder="1" applyAlignment="1">
      <alignment horizontal="center"/>
    </xf>
    <xf numFmtId="0" fontId="0" fillId="0" borderId="11" xfId="0" applyBorder="1" applyAlignment="1">
      <alignment horizontal="center"/>
    </xf>
    <xf numFmtId="0" fontId="19" fillId="0" borderId="9" xfId="0" applyFont="1" applyBorder="1" applyAlignment="1">
      <alignment horizontal="center"/>
    </xf>
    <xf numFmtId="2" fontId="14" fillId="0" borderId="41" xfId="5" applyNumberFormat="1" applyBorder="1" applyAlignment="1">
      <alignment horizontal="center"/>
    </xf>
    <xf numFmtId="0" fontId="19" fillId="0" borderId="0" xfId="5" applyFont="1" applyAlignment="1">
      <alignment horizontal="center"/>
    </xf>
    <xf numFmtId="167" fontId="19" fillId="0" borderId="0" xfId="5" applyNumberFormat="1" applyFont="1" applyAlignment="1">
      <alignment horizontal="center"/>
    </xf>
    <xf numFmtId="2" fontId="19" fillId="0" borderId="0" xfId="5" applyNumberFormat="1" applyFont="1" applyAlignment="1">
      <alignment horizontal="center"/>
    </xf>
    <xf numFmtId="2" fontId="14" fillId="0" borderId="0" xfId="5" applyNumberFormat="1" applyAlignment="1">
      <alignment horizontal="center"/>
    </xf>
    <xf numFmtId="2" fontId="20" fillId="0" borderId="0" xfId="5" applyNumberFormat="1" applyFont="1" applyAlignment="1">
      <alignment horizontal="center"/>
    </xf>
    <xf numFmtId="10" fontId="19" fillId="0" borderId="0" xfId="5" applyNumberFormat="1" applyFont="1" applyAlignment="1">
      <alignment horizontal="center"/>
    </xf>
    <xf numFmtId="9" fontId="13" fillId="4" borderId="7" xfId="0" applyNumberFormat="1" applyFont="1" applyFill="1" applyBorder="1" applyAlignment="1">
      <alignment horizontal="right" wrapText="1"/>
    </xf>
    <xf numFmtId="37" fontId="0" fillId="0" borderId="0" xfId="0" applyNumberFormat="1" applyAlignment="1">
      <alignment horizontal="center"/>
    </xf>
    <xf numFmtId="37" fontId="0" fillId="12" borderId="0" xfId="0" applyNumberFormat="1" applyFill="1" applyAlignment="1">
      <alignment horizontal="center"/>
    </xf>
    <xf numFmtId="0" fontId="17" fillId="0" borderId="0" xfId="5" applyFont="1" applyAlignment="1">
      <alignment horizontal="center"/>
    </xf>
    <xf numFmtId="0" fontId="19" fillId="0" borderId="0" xfId="0" applyFont="1" applyAlignment="1">
      <alignment horizontal="center"/>
    </xf>
    <xf numFmtId="2" fontId="14" fillId="0" borderId="0" xfId="0" applyNumberFormat="1" applyFont="1" applyAlignment="1">
      <alignment horizontal="center"/>
    </xf>
    <xf numFmtId="2" fontId="0" fillId="0" borderId="0" xfId="0" applyNumberFormat="1" applyAlignment="1">
      <alignment horizontal="center"/>
    </xf>
    <xf numFmtId="0" fontId="13" fillId="0" borderId="7" xfId="0" applyFont="1" applyBorder="1" applyAlignment="1">
      <alignment horizontal="center"/>
    </xf>
    <xf numFmtId="0" fontId="19" fillId="0" borderId="10" xfId="0" applyFont="1" applyBorder="1" applyAlignment="1">
      <alignment horizontal="center"/>
    </xf>
    <xf numFmtId="0" fontId="19" fillId="0" borderId="11" xfId="0" applyFont="1" applyBorder="1" applyAlignment="1">
      <alignment horizontal="center"/>
    </xf>
    <xf numFmtId="2" fontId="14" fillId="2" borderId="43" xfId="5" applyNumberFormat="1" applyFill="1" applyBorder="1" applyAlignment="1">
      <alignment horizontal="center"/>
    </xf>
    <xf numFmtId="0" fontId="0" fillId="0" borderId="2" xfId="0" applyBorder="1" applyAlignment="1">
      <alignment horizontal="center"/>
    </xf>
    <xf numFmtId="2" fontId="0" fillId="12" borderId="13" xfId="0" applyNumberFormat="1" applyFill="1" applyBorder="1" applyAlignment="1">
      <alignment horizontal="center"/>
    </xf>
    <xf numFmtId="165" fontId="9" fillId="0" borderId="0" xfId="1" applyNumberFormat="1" applyFont="1" applyFill="1" applyBorder="1"/>
    <xf numFmtId="41" fontId="6" fillId="0" borderId="0" xfId="1" applyNumberFormat="1" applyFont="1" applyFill="1" applyBorder="1"/>
    <xf numFmtId="172" fontId="7" fillId="0" borderId="0" xfId="2" applyNumberFormat="1" applyFont="1" applyFill="1" applyBorder="1"/>
    <xf numFmtId="41" fontId="7" fillId="0" borderId="0" xfId="1" applyNumberFormat="1" applyFont="1" applyFill="1" applyBorder="1"/>
    <xf numFmtId="41" fontId="8" fillId="0" borderId="0" xfId="1" applyNumberFormat="1" applyFont="1" applyFill="1" applyBorder="1"/>
    <xf numFmtId="41" fontId="9" fillId="0" borderId="0" xfId="1" applyNumberFormat="1" applyFont="1" applyFill="1" applyBorder="1"/>
    <xf numFmtId="41" fontId="9" fillId="0" borderId="0" xfId="0" applyNumberFormat="1" applyFont="1"/>
    <xf numFmtId="168" fontId="0" fillId="0" borderId="0" xfId="0" applyNumberFormat="1" applyAlignment="1">
      <alignment horizontal="right"/>
    </xf>
    <xf numFmtId="169" fontId="0" fillId="0" borderId="0" xfId="0" applyNumberFormat="1" applyAlignment="1">
      <alignment horizontal="right"/>
    </xf>
    <xf numFmtId="170" fontId="0" fillId="0" borderId="0" xfId="0" applyNumberFormat="1" applyAlignment="1">
      <alignment horizontal="right"/>
    </xf>
    <xf numFmtId="0" fontId="21" fillId="11" borderId="10" xfId="0" applyFont="1" applyFill="1" applyBorder="1" applyAlignment="1">
      <alignment horizontal="left" indent="3"/>
    </xf>
    <xf numFmtId="0" fontId="0" fillId="0" borderId="10" xfId="0" applyBorder="1" applyAlignment="1">
      <alignment horizontal="left" indent="4"/>
    </xf>
    <xf numFmtId="3" fontId="0" fillId="0" borderId="0" xfId="0" applyNumberFormat="1" applyAlignment="1">
      <alignment horizontal="right"/>
    </xf>
    <xf numFmtId="0" fontId="0" fillId="11" borderId="10" xfId="0" applyFill="1" applyBorder="1" applyAlignment="1">
      <alignment horizontal="left" indent="4"/>
    </xf>
    <xf numFmtId="0" fontId="21" fillId="0" borderId="10" xfId="0" applyFont="1" applyBorder="1" applyAlignment="1">
      <alignment horizontal="left" indent="3"/>
    </xf>
    <xf numFmtId="0" fontId="21" fillId="11" borderId="10" xfId="0" applyFont="1" applyFill="1" applyBorder="1" applyAlignment="1">
      <alignment horizontal="left" indent="6"/>
    </xf>
    <xf numFmtId="0" fontId="0" fillId="0" borderId="10" xfId="0" applyBorder="1" applyAlignment="1">
      <alignment horizontal="left" indent="7"/>
    </xf>
    <xf numFmtId="0" fontId="0" fillId="11" borderId="10" xfId="0" applyFill="1" applyBorder="1" applyAlignment="1">
      <alignment horizontal="left" indent="7"/>
    </xf>
    <xf numFmtId="0" fontId="0" fillId="0" borderId="10" xfId="0" applyBorder="1" applyAlignment="1">
      <alignment horizontal="left" indent="1"/>
    </xf>
    <xf numFmtId="3" fontId="21" fillId="0" borderId="0" xfId="0" applyNumberFormat="1" applyFont="1" applyAlignment="1">
      <alignment horizontal="right"/>
    </xf>
    <xf numFmtId="0" fontId="0" fillId="11" borderId="10" xfId="0" applyFill="1" applyBorder="1" applyAlignment="1">
      <alignment horizontal="left" indent="1"/>
    </xf>
    <xf numFmtId="0" fontId="9" fillId="0" borderId="10" xfId="0" applyFont="1" applyBorder="1"/>
    <xf numFmtId="0" fontId="9" fillId="0" borderId="11" xfId="0" applyFont="1" applyBorder="1"/>
    <xf numFmtId="0" fontId="21" fillId="0" borderId="10" xfId="0" applyFont="1" applyBorder="1" applyAlignment="1">
      <alignment horizontal="left"/>
    </xf>
    <xf numFmtId="0" fontId="0" fillId="11" borderId="12" xfId="0" applyFill="1" applyBorder="1" applyAlignment="1">
      <alignment horizontal="left" indent="1"/>
    </xf>
    <xf numFmtId="0" fontId="21" fillId="0" borderId="6" xfId="0" applyFont="1" applyBorder="1" applyAlignment="1">
      <alignment horizontal="right"/>
    </xf>
    <xf numFmtId="0" fontId="10" fillId="8" borderId="10" xfId="0" applyFont="1" applyFill="1" applyBorder="1"/>
    <xf numFmtId="0" fontId="21" fillId="0" borderId="35" xfId="0" applyFont="1" applyBorder="1" applyAlignment="1">
      <alignment horizontal="left"/>
    </xf>
    <xf numFmtId="0" fontId="21" fillId="0" borderId="36" xfId="0" applyFont="1" applyBorder="1" applyAlignment="1">
      <alignment horizontal="right"/>
    </xf>
    <xf numFmtId="0" fontId="0" fillId="11" borderId="29" xfId="0" applyFill="1" applyBorder="1" applyAlignment="1">
      <alignment horizontal="left" indent="1"/>
    </xf>
    <xf numFmtId="0" fontId="0" fillId="8" borderId="0" xfId="0" applyFill="1" applyAlignment="1">
      <alignment horizontal="left"/>
    </xf>
    <xf numFmtId="0" fontId="6" fillId="0" borderId="10" xfId="0" applyFont="1" applyBorder="1"/>
    <xf numFmtId="0" fontId="0" fillId="0" borderId="7" xfId="0" applyBorder="1" applyAlignment="1">
      <alignment horizontal="left" indent="1"/>
    </xf>
    <xf numFmtId="41" fontId="9" fillId="0" borderId="11" xfId="1" applyNumberFormat="1" applyFont="1" applyFill="1" applyBorder="1"/>
    <xf numFmtId="41" fontId="9" fillId="0" borderId="11" xfId="0" applyNumberFormat="1" applyFont="1" applyBorder="1"/>
    <xf numFmtId="41" fontId="9" fillId="0" borderId="8" xfId="0" applyNumberFormat="1" applyFont="1" applyBorder="1"/>
    <xf numFmtId="41" fontId="9" fillId="0" borderId="9" xfId="0" applyNumberFormat="1" applyFont="1" applyBorder="1"/>
    <xf numFmtId="3" fontId="21" fillId="11" borderId="0" xfId="0" applyNumberFormat="1" applyFont="1" applyFill="1" applyAlignment="1">
      <alignment horizontal="right"/>
    </xf>
    <xf numFmtId="0" fontId="0" fillId="0" borderId="10" xfId="0" applyBorder="1" applyAlignment="1">
      <alignment horizontal="left"/>
    </xf>
    <xf numFmtId="0" fontId="12" fillId="0" borderId="7" xfId="0" applyFont="1" applyBorder="1"/>
    <xf numFmtId="41" fontId="15" fillId="0" borderId="8" xfId="4" applyNumberFormat="1" applyFont="1" applyFill="1" applyBorder="1" applyAlignment="1">
      <alignment horizontal="right"/>
    </xf>
    <xf numFmtId="41" fontId="15" fillId="0" borderId="8" xfId="0" applyNumberFormat="1" applyFont="1" applyBorder="1"/>
    <xf numFmtId="41" fontId="15" fillId="0" borderId="9" xfId="0" applyNumberFormat="1" applyFont="1" applyBorder="1"/>
    <xf numFmtId="10" fontId="15" fillId="0" borderId="11" xfId="2" applyNumberFormat="1" applyFont="1" applyFill="1" applyBorder="1"/>
    <xf numFmtId="41" fontId="12" fillId="0" borderId="0" xfId="4" applyNumberFormat="1" applyFont="1" applyFill="1" applyBorder="1" applyAlignment="1">
      <alignment horizontal="right"/>
    </xf>
    <xf numFmtId="41" fontId="12" fillId="0" borderId="11" xfId="4" applyNumberFormat="1" applyFont="1" applyFill="1" applyBorder="1" applyAlignment="1">
      <alignment horizontal="right"/>
    </xf>
    <xf numFmtId="41" fontId="9" fillId="0" borderId="0" xfId="4" applyNumberFormat="1" applyFont="1" applyFill="1" applyBorder="1" applyAlignment="1">
      <alignment horizontal="right"/>
    </xf>
    <xf numFmtId="41" fontId="9" fillId="0" borderId="11" xfId="4" applyNumberFormat="1" applyFont="1" applyFill="1" applyBorder="1" applyAlignment="1">
      <alignment horizontal="right"/>
    </xf>
    <xf numFmtId="0" fontId="21" fillId="0" borderId="10" xfId="0" applyFont="1" applyBorder="1" applyAlignment="1">
      <alignment horizontal="left" indent="6"/>
    </xf>
    <xf numFmtId="0" fontId="12" fillId="0" borderId="35" xfId="0" applyFont="1" applyBorder="1"/>
    <xf numFmtId="41" fontId="9" fillId="0" borderId="6" xfId="4" applyNumberFormat="1" applyFont="1" applyFill="1" applyBorder="1"/>
    <xf numFmtId="41" fontId="9" fillId="0" borderId="36" xfId="4" applyNumberFormat="1" applyFont="1" applyFill="1" applyBorder="1"/>
    <xf numFmtId="165" fontId="9" fillId="0" borderId="0" xfId="4" applyNumberFormat="1" applyFont="1" applyFill="1" applyBorder="1"/>
    <xf numFmtId="165" fontId="9" fillId="0" borderId="11" xfId="4" applyNumberFormat="1" applyFont="1" applyFill="1" applyBorder="1"/>
    <xf numFmtId="166" fontId="9" fillId="0" borderId="0" xfId="2" applyNumberFormat="1" applyFont="1" applyFill="1" applyBorder="1"/>
    <xf numFmtId="166" fontId="9" fillId="0" borderId="11" xfId="2" applyNumberFormat="1" applyFont="1" applyFill="1" applyBorder="1"/>
    <xf numFmtId="10" fontId="12" fillId="0" borderId="8" xfId="2" applyNumberFormat="1" applyFont="1" applyFill="1" applyBorder="1"/>
    <xf numFmtId="41" fontId="12" fillId="0" borderId="8" xfId="2" applyNumberFormat="1" applyFont="1" applyFill="1" applyBorder="1"/>
    <xf numFmtId="41" fontId="12" fillId="0" borderId="9" xfId="2" applyNumberFormat="1" applyFont="1" applyFill="1" applyBorder="1"/>
    <xf numFmtId="0" fontId="0" fillId="11" borderId="10" xfId="0" applyFill="1" applyBorder="1" applyAlignment="1">
      <alignment horizontal="left"/>
    </xf>
    <xf numFmtId="173" fontId="0" fillId="11" borderId="0" xfId="0" applyNumberFormat="1" applyFill="1" applyAlignment="1">
      <alignment horizontal="right"/>
    </xf>
    <xf numFmtId="174" fontId="0" fillId="11" borderId="0" xfId="0" applyNumberFormat="1" applyFill="1" applyAlignment="1">
      <alignment horizontal="right"/>
    </xf>
    <xf numFmtId="175" fontId="0" fillId="11" borderId="0" xfId="0" applyNumberFormat="1" applyFill="1" applyAlignment="1">
      <alignment horizontal="right"/>
    </xf>
    <xf numFmtId="174" fontId="0" fillId="0" borderId="0" xfId="0" applyNumberFormat="1" applyAlignment="1">
      <alignment horizontal="right"/>
    </xf>
    <xf numFmtId="176" fontId="0" fillId="11" borderId="0" xfId="0" applyNumberFormat="1" applyFill="1" applyAlignment="1">
      <alignment horizontal="right"/>
    </xf>
    <xf numFmtId="178" fontId="0" fillId="11" borderId="0" xfId="0" applyNumberFormat="1" applyFill="1" applyAlignment="1">
      <alignment horizontal="right"/>
    </xf>
    <xf numFmtId="166" fontId="0" fillId="0" borderId="0" xfId="0" applyNumberFormat="1" applyAlignment="1">
      <alignment horizontal="right"/>
    </xf>
    <xf numFmtId="178" fontId="0" fillId="0" borderId="0" xfId="0" applyNumberFormat="1" applyAlignment="1">
      <alignment horizontal="right"/>
    </xf>
    <xf numFmtId="173" fontId="0" fillId="0" borderId="0" xfId="0" applyNumberFormat="1" applyAlignment="1">
      <alignment horizontal="right"/>
    </xf>
    <xf numFmtId="179" fontId="0" fillId="11" borderId="0" xfId="0" applyNumberFormat="1" applyFill="1" applyAlignment="1">
      <alignment horizontal="right"/>
    </xf>
    <xf numFmtId="180" fontId="0" fillId="0" borderId="0" xfId="0" applyNumberFormat="1" applyAlignment="1">
      <alignment horizontal="right"/>
    </xf>
    <xf numFmtId="166" fontId="14" fillId="0" borderId="2" xfId="2" applyNumberFormat="1" applyFont="1" applyFill="1" applyBorder="1" applyAlignment="1">
      <alignment horizontal="center"/>
    </xf>
    <xf numFmtId="0" fontId="0" fillId="0" borderId="0" xfId="0" applyAlignment="1">
      <alignment horizontal="left"/>
    </xf>
    <xf numFmtId="175" fontId="0" fillId="0" borderId="0" xfId="0" applyNumberFormat="1" applyAlignment="1">
      <alignment horizontal="right"/>
    </xf>
    <xf numFmtId="181" fontId="0" fillId="0" borderId="0" xfId="0" applyNumberFormat="1" applyAlignment="1">
      <alignment horizontal="right"/>
    </xf>
    <xf numFmtId="180" fontId="0" fillId="11" borderId="0" xfId="0" applyNumberFormat="1" applyFill="1" applyAlignment="1">
      <alignment horizontal="right"/>
    </xf>
    <xf numFmtId="177" fontId="0" fillId="11" borderId="0" xfId="0" applyNumberFormat="1" applyFill="1" applyAlignment="1">
      <alignment horizontal="right"/>
    </xf>
    <xf numFmtId="182" fontId="0" fillId="11" borderId="0" xfId="0" applyNumberFormat="1" applyFill="1" applyAlignment="1">
      <alignment horizontal="right"/>
    </xf>
    <xf numFmtId="0" fontId="14" fillId="0" borderId="12" xfId="5" applyBorder="1" applyAlignment="1">
      <alignment horizontal="center"/>
    </xf>
    <xf numFmtId="0" fontId="14" fillId="0" borderId="2" xfId="5" applyBorder="1" applyAlignment="1">
      <alignment horizontal="center"/>
    </xf>
    <xf numFmtId="2" fontId="14" fillId="2" borderId="44" xfId="5" applyNumberFormat="1" applyFill="1" applyBorder="1" applyAlignment="1">
      <alignment horizontal="center"/>
    </xf>
    <xf numFmtId="0" fontId="0" fillId="11" borderId="24" xfId="0" applyFill="1" applyBorder="1" applyAlignment="1">
      <alignment horizontal="left"/>
    </xf>
    <xf numFmtId="173" fontId="0" fillId="11" borderId="21" xfId="0" applyNumberFormat="1" applyFill="1" applyBorder="1" applyAlignment="1">
      <alignment horizontal="right"/>
    </xf>
    <xf numFmtId="174" fontId="0" fillId="11" borderId="21" xfId="0" applyNumberFormat="1" applyFill="1" applyBorder="1" applyAlignment="1">
      <alignment horizontal="right"/>
    </xf>
    <xf numFmtId="175" fontId="0" fillId="11" borderId="21" xfId="0" applyNumberFormat="1" applyFill="1" applyBorder="1" applyAlignment="1">
      <alignment horizontal="right"/>
    </xf>
    <xf numFmtId="2" fontId="14" fillId="2" borderId="45" xfId="5" applyNumberFormat="1" applyFill="1" applyBorder="1" applyAlignment="1">
      <alignment horizontal="center"/>
    </xf>
    <xf numFmtId="171" fontId="18" fillId="4" borderId="8" xfId="2" applyNumberFormat="1" applyFont="1" applyFill="1" applyBorder="1" applyAlignment="1">
      <alignment horizontal="center"/>
    </xf>
    <xf numFmtId="171" fontId="0" fillId="0" borderId="8" xfId="0" applyNumberFormat="1" applyBorder="1" applyAlignment="1">
      <alignment horizontal="center"/>
    </xf>
    <xf numFmtId="171" fontId="0" fillId="0" borderId="9" xfId="0" applyNumberFormat="1" applyBorder="1" applyAlignment="1">
      <alignment horizontal="center"/>
    </xf>
    <xf numFmtId="0" fontId="14" fillId="4" borderId="7" xfId="5" applyFill="1" applyBorder="1" applyAlignment="1">
      <alignment horizontal="center"/>
    </xf>
    <xf numFmtId="171" fontId="14" fillId="4" borderId="8" xfId="5" applyNumberFormat="1" applyFill="1" applyBorder="1" applyAlignment="1">
      <alignment horizontal="center"/>
    </xf>
    <xf numFmtId="0" fontId="14" fillId="0" borderId="8" xfId="5" applyBorder="1" applyAlignment="1">
      <alignment horizontal="center"/>
    </xf>
    <xf numFmtId="171" fontId="19" fillId="13" borderId="40" xfId="5" applyNumberFormat="1" applyFont="1" applyFill="1" applyBorder="1" applyAlignment="1">
      <alignment horizontal="center"/>
    </xf>
    <xf numFmtId="171" fontId="19" fillId="13" borderId="41" xfId="5" applyNumberFormat="1" applyFont="1" applyFill="1" applyBorder="1" applyAlignment="1">
      <alignment horizontal="center"/>
    </xf>
    <xf numFmtId="37" fontId="0" fillId="0" borderId="18" xfId="0" applyNumberFormat="1" applyBorder="1" applyAlignment="1">
      <alignment horizontal="center"/>
    </xf>
    <xf numFmtId="37" fontId="0" fillId="0" borderId="1" xfId="0" applyNumberFormat="1" applyBorder="1" applyAlignment="1">
      <alignment horizontal="center"/>
    </xf>
    <xf numFmtId="37" fontId="0" fillId="0" borderId="20" xfId="0" applyNumberFormat="1" applyBorder="1" applyAlignment="1">
      <alignment horizontal="center"/>
    </xf>
    <xf numFmtId="37" fontId="0" fillId="15" borderId="0" xfId="0" applyNumberFormat="1" applyFill="1" applyAlignment="1">
      <alignment horizontal="center"/>
    </xf>
    <xf numFmtId="37" fontId="0" fillId="16" borderId="0" xfId="0" applyNumberFormat="1" applyFill="1" applyAlignment="1">
      <alignment horizontal="center"/>
    </xf>
    <xf numFmtId="0" fontId="13" fillId="14" borderId="35" xfId="0" applyFont="1" applyFill="1" applyBorder="1" applyAlignment="1">
      <alignment horizontal="right"/>
    </xf>
    <xf numFmtId="0" fontId="13" fillId="14" borderId="12" xfId="0" applyFont="1" applyFill="1" applyBorder="1" applyAlignment="1">
      <alignment horizontal="right"/>
    </xf>
    <xf numFmtId="10" fontId="6" fillId="5" borderId="16" xfId="2" applyNumberFormat="1" applyFont="1" applyFill="1" applyBorder="1" applyAlignment="1">
      <alignment horizontal="center"/>
    </xf>
    <xf numFmtId="0" fontId="9" fillId="5" borderId="0" xfId="0" applyFont="1" applyFill="1"/>
    <xf numFmtId="3" fontId="6" fillId="4" borderId="6" xfId="0" applyNumberFormat="1" applyFont="1" applyFill="1" applyBorder="1" applyAlignment="1">
      <alignment horizontal="center"/>
    </xf>
    <xf numFmtId="0" fontId="6" fillId="17" borderId="10" xfId="0" applyFont="1" applyFill="1" applyBorder="1"/>
    <xf numFmtId="41" fontId="6" fillId="17" borderId="0" xfId="1" applyNumberFormat="1" applyFont="1" applyFill="1" applyBorder="1"/>
    <xf numFmtId="41" fontId="6" fillId="17" borderId="11" xfId="1" applyNumberFormat="1" applyFont="1" applyFill="1" applyBorder="1"/>
    <xf numFmtId="0" fontId="6" fillId="17" borderId="12" xfId="0" applyFont="1" applyFill="1" applyBorder="1"/>
    <xf numFmtId="41" fontId="6" fillId="17" borderId="2" xfId="1" applyNumberFormat="1" applyFont="1" applyFill="1" applyBorder="1"/>
    <xf numFmtId="41" fontId="6" fillId="17" borderId="13" xfId="1" applyNumberFormat="1" applyFont="1" applyFill="1" applyBorder="1"/>
    <xf numFmtId="0" fontId="6" fillId="9" borderId="29" xfId="0" applyFont="1" applyFill="1" applyBorder="1"/>
    <xf numFmtId="41" fontId="6" fillId="9" borderId="1" xfId="1" applyNumberFormat="1" applyFont="1" applyFill="1" applyBorder="1"/>
    <xf numFmtId="41" fontId="6" fillId="9" borderId="27" xfId="1" applyNumberFormat="1" applyFont="1" applyFill="1" applyBorder="1"/>
    <xf numFmtId="0" fontId="6" fillId="17" borderId="7" xfId="0" applyFont="1" applyFill="1" applyBorder="1"/>
    <xf numFmtId="41" fontId="6" fillId="17" borderId="8" xfId="1" applyNumberFormat="1" applyFont="1" applyFill="1" applyBorder="1"/>
    <xf numFmtId="41" fontId="6" fillId="17" borderId="9" xfId="1" applyNumberFormat="1" applyFont="1" applyFill="1" applyBorder="1"/>
    <xf numFmtId="41" fontId="9" fillId="4" borderId="6" xfId="1" applyNumberFormat="1" applyFont="1" applyFill="1" applyBorder="1" applyAlignment="1">
      <alignment horizontal="right"/>
    </xf>
    <xf numFmtId="41" fontId="9" fillId="4" borderId="16" xfId="1" applyNumberFormat="1" applyFont="1" applyFill="1" applyBorder="1" applyAlignment="1">
      <alignment horizontal="right"/>
    </xf>
    <xf numFmtId="0" fontId="9" fillId="4" borderId="19" xfId="0" applyFont="1" applyFill="1" applyBorder="1" applyAlignment="1">
      <alignment horizontal="right"/>
    </xf>
    <xf numFmtId="165" fontId="6" fillId="18" borderId="18" xfId="1" applyNumberFormat="1" applyFont="1" applyFill="1" applyBorder="1" applyAlignment="1">
      <alignment horizontal="right"/>
    </xf>
    <xf numFmtId="165" fontId="6" fillId="18" borderId="0" xfId="1" applyNumberFormat="1" applyFont="1" applyFill="1" applyBorder="1" applyAlignment="1">
      <alignment horizontal="right"/>
    </xf>
    <xf numFmtId="0" fontId="28" fillId="0" borderId="7" xfId="0" applyFont="1" applyBorder="1"/>
    <xf numFmtId="41" fontId="28" fillId="0" borderId="8" xfId="1" applyNumberFormat="1" applyFont="1" applyFill="1" applyBorder="1"/>
    <xf numFmtId="41" fontId="28" fillId="0" borderId="9" xfId="1" applyNumberFormat="1" applyFont="1" applyFill="1" applyBorder="1"/>
    <xf numFmtId="3" fontId="9" fillId="4" borderId="0" xfId="1" applyNumberFormat="1" applyFont="1" applyFill="1" applyBorder="1"/>
    <xf numFmtId="3" fontId="9" fillId="4" borderId="18" xfId="1" applyNumberFormat="1" applyFont="1" applyFill="1" applyBorder="1"/>
    <xf numFmtId="165" fontId="9" fillId="0" borderId="11" xfId="1" applyNumberFormat="1" applyFont="1" applyFill="1" applyBorder="1"/>
    <xf numFmtId="10" fontId="12" fillId="9" borderId="3" xfId="2" applyNumberFormat="1" applyFont="1" applyFill="1" applyBorder="1"/>
    <xf numFmtId="165" fontId="12" fillId="0" borderId="0" xfId="1" applyNumberFormat="1" applyFont="1" applyFill="1" applyBorder="1" applyAlignment="1"/>
    <xf numFmtId="166" fontId="15" fillId="5" borderId="10" xfId="0" applyNumberFormat="1" applyFont="1" applyFill="1" applyBorder="1"/>
    <xf numFmtId="165" fontId="12" fillId="0" borderId="10" xfId="1" applyNumberFormat="1" applyFont="1" applyFill="1" applyBorder="1" applyAlignment="1"/>
    <xf numFmtId="165" fontId="12" fillId="0" borderId="11" xfId="1" applyNumberFormat="1" applyFont="1" applyFill="1" applyBorder="1" applyAlignment="1"/>
    <xf numFmtId="10" fontId="15" fillId="5" borderId="38" xfId="2" applyNumberFormat="1" applyFont="1" applyFill="1" applyBorder="1" applyAlignment="1"/>
    <xf numFmtId="41" fontId="12" fillId="4" borderId="10" xfId="1" applyNumberFormat="1" applyFont="1" applyFill="1" applyBorder="1"/>
    <xf numFmtId="43" fontId="12" fillId="4" borderId="0" xfId="0" applyNumberFormat="1" applyFont="1" applyFill="1"/>
    <xf numFmtId="166" fontId="12" fillId="0" borderId="0" xfId="0" applyNumberFormat="1" applyFont="1"/>
    <xf numFmtId="3" fontId="15" fillId="19" borderId="7" xfId="0" applyNumberFormat="1" applyFont="1" applyFill="1" applyBorder="1" applyAlignment="1">
      <alignment horizontal="center"/>
    </xf>
    <xf numFmtId="3" fontId="15" fillId="19" borderId="8" xfId="0" applyNumberFormat="1" applyFont="1" applyFill="1" applyBorder="1" applyAlignment="1">
      <alignment horizontal="center"/>
    </xf>
    <xf numFmtId="43" fontId="12" fillId="4" borderId="10" xfId="0" applyNumberFormat="1" applyFont="1" applyFill="1" applyBorder="1"/>
    <xf numFmtId="43" fontId="12" fillId="4" borderId="11" xfId="0" applyNumberFormat="1" applyFont="1" applyFill="1" applyBorder="1"/>
    <xf numFmtId="166" fontId="12" fillId="0" borderId="11" xfId="0" applyNumberFormat="1" applyFont="1" applyBorder="1"/>
    <xf numFmtId="0" fontId="21" fillId="11" borderId="0" xfId="0" applyFont="1" applyFill="1" applyAlignment="1">
      <alignment horizontal="left"/>
    </xf>
    <xf numFmtId="0" fontId="21" fillId="0" borderId="0" xfId="0" applyFont="1" applyAlignment="1">
      <alignment horizontal="left" indent="3"/>
    </xf>
    <xf numFmtId="0" fontId="0" fillId="11" borderId="0" xfId="0" applyFill="1" applyAlignment="1">
      <alignment horizontal="left" indent="4"/>
    </xf>
    <xf numFmtId="0" fontId="0" fillId="0" borderId="0" xfId="0" applyAlignment="1">
      <alignment horizontal="left" indent="4"/>
    </xf>
    <xf numFmtId="0" fontId="21" fillId="11" borderId="0" xfId="0" applyFont="1" applyFill="1" applyAlignment="1">
      <alignment horizontal="left" indent="3"/>
    </xf>
    <xf numFmtId="0" fontId="21" fillId="0" borderId="0" xfId="0" applyFont="1" applyAlignment="1">
      <alignment horizontal="left" indent="6"/>
    </xf>
    <xf numFmtId="0" fontId="0" fillId="11" borderId="0" xfId="0" applyFill="1" applyAlignment="1">
      <alignment horizontal="left" indent="7"/>
    </xf>
    <xf numFmtId="0" fontId="0" fillId="0" borderId="0" xfId="0" applyAlignment="1">
      <alignment horizontal="left" indent="7"/>
    </xf>
    <xf numFmtId="0" fontId="0" fillId="11" borderId="0" xfId="0" applyFill="1" applyAlignment="1">
      <alignment horizontal="left" indent="1"/>
    </xf>
    <xf numFmtId="3" fontId="0" fillId="11" borderId="0" xfId="0" applyNumberFormat="1" applyFill="1" applyAlignment="1">
      <alignment horizontal="right"/>
    </xf>
    <xf numFmtId="3" fontId="22" fillId="0" borderId="0" xfId="0" applyNumberFormat="1" applyFont="1" applyAlignment="1">
      <alignment horizontal="right"/>
    </xf>
    <xf numFmtId="0" fontId="0" fillId="11" borderId="0" xfId="0" applyFill="1" applyAlignment="1">
      <alignment horizontal="left"/>
    </xf>
    <xf numFmtId="0" fontId="29" fillId="20" borderId="0" xfId="0" applyFont="1" applyFill="1" applyAlignment="1">
      <alignment horizontal="left"/>
    </xf>
    <xf numFmtId="3" fontId="22" fillId="11" borderId="0" xfId="0" applyNumberFormat="1" applyFont="1" applyFill="1" applyAlignment="1">
      <alignment horizontal="right"/>
    </xf>
    <xf numFmtId="0" fontId="21" fillId="0" borderId="0" xfId="0" applyFont="1" applyAlignment="1">
      <alignment horizontal="left"/>
    </xf>
    <xf numFmtId="4" fontId="0" fillId="11" borderId="0" xfId="0" applyNumberFormat="1" applyFill="1" applyAlignment="1">
      <alignment horizontal="right"/>
    </xf>
    <xf numFmtId="0" fontId="0" fillId="0" borderId="0" xfId="0" applyAlignment="1">
      <alignment horizontal="left" indent="1"/>
    </xf>
    <xf numFmtId="4" fontId="0" fillId="0" borderId="0" xfId="0" applyNumberFormat="1" applyAlignment="1">
      <alignment horizontal="right"/>
    </xf>
    <xf numFmtId="0" fontId="31" fillId="0" borderId="0" xfId="0" applyFont="1" applyAlignment="1">
      <alignment horizontal="left"/>
    </xf>
    <xf numFmtId="0" fontId="21" fillId="11" borderId="0" xfId="0" applyFont="1" applyFill="1" applyAlignment="1">
      <alignment horizontal="left" indent="6"/>
    </xf>
    <xf numFmtId="4" fontId="21" fillId="0" borderId="0" xfId="0" applyNumberFormat="1" applyFont="1" applyAlignment="1">
      <alignment horizontal="right"/>
    </xf>
    <xf numFmtId="4" fontId="21" fillId="11" borderId="0" xfId="0" applyNumberFormat="1" applyFont="1" applyFill="1" applyAlignment="1">
      <alignment horizontal="right"/>
    </xf>
    <xf numFmtId="0" fontId="9" fillId="21" borderId="10" xfId="0" applyFont="1" applyFill="1" applyBorder="1"/>
    <xf numFmtId="41" fontId="9" fillId="21" borderId="11" xfId="0" applyNumberFormat="1" applyFont="1" applyFill="1" applyBorder="1"/>
    <xf numFmtId="41" fontId="9" fillId="21" borderId="0" xfId="0" applyNumberFormat="1" applyFont="1" applyFill="1"/>
    <xf numFmtId="41" fontId="9" fillId="21" borderId="0" xfId="1" applyNumberFormat="1" applyFont="1" applyFill="1" applyBorder="1"/>
    <xf numFmtId="0" fontId="9" fillId="21" borderId="11" xfId="0" applyFont="1" applyFill="1" applyBorder="1"/>
    <xf numFmtId="0" fontId="9" fillId="21" borderId="0" xfId="0" applyFont="1" applyFill="1"/>
    <xf numFmtId="0" fontId="21" fillId="22" borderId="0" xfId="0" applyFont="1" applyFill="1" applyAlignment="1">
      <alignment horizontal="left" indent="3"/>
    </xf>
    <xf numFmtId="0" fontId="9" fillId="22" borderId="11" xfId="0" applyFont="1" applyFill="1" applyBorder="1"/>
    <xf numFmtId="0" fontId="9" fillId="22" borderId="0" xfId="0" applyFont="1" applyFill="1"/>
    <xf numFmtId="0" fontId="13" fillId="23" borderId="36" xfId="0" applyFont="1" applyFill="1" applyBorder="1"/>
    <xf numFmtId="0" fontId="13" fillId="23" borderId="13" xfId="0" applyFont="1" applyFill="1" applyBorder="1"/>
    <xf numFmtId="0" fontId="13" fillId="4" borderId="0" xfId="0" applyFont="1" applyFill="1"/>
    <xf numFmtId="10" fontId="19" fillId="23" borderId="39" xfId="5" applyNumberFormat="1" applyFont="1" applyFill="1" applyBorder="1" applyAlignment="1">
      <alignment horizontal="center"/>
    </xf>
    <xf numFmtId="10" fontId="15" fillId="5" borderId="3" xfId="0" applyNumberFormat="1" applyFont="1" applyFill="1" applyBorder="1" applyAlignment="1">
      <alignment horizontal="center"/>
    </xf>
    <xf numFmtId="10" fontId="13" fillId="6" borderId="37" xfId="0" applyNumberFormat="1" applyFont="1" applyFill="1" applyBorder="1" applyAlignment="1">
      <alignment horizontal="center"/>
    </xf>
    <xf numFmtId="10" fontId="13" fillId="6" borderId="26" xfId="0" applyNumberFormat="1" applyFont="1" applyFill="1" applyBorder="1" applyAlignment="1">
      <alignment horizontal="center"/>
    </xf>
    <xf numFmtId="0" fontId="0" fillId="0" borderId="0" xfId="0" applyAlignment="1">
      <alignment horizontal="center" wrapText="1"/>
    </xf>
    <xf numFmtId="0" fontId="13" fillId="8" borderId="0" xfId="0" applyFont="1" applyFill="1" applyAlignment="1">
      <alignment horizontal="left"/>
    </xf>
    <xf numFmtId="0" fontId="29" fillId="8" borderId="0" xfId="0" applyFont="1" applyFill="1" applyAlignment="1">
      <alignment horizontal="left"/>
    </xf>
    <xf numFmtId="10" fontId="0" fillId="4" borderId="9" xfId="0" applyNumberFormat="1" applyFill="1" applyBorder="1"/>
    <xf numFmtId="0" fontId="29" fillId="0" borderId="0" xfId="0" applyFont="1"/>
    <xf numFmtId="183" fontId="0" fillId="11" borderId="0" xfId="0" applyNumberFormat="1" applyFill="1" applyAlignment="1">
      <alignment horizontal="right"/>
    </xf>
    <xf numFmtId="183" fontId="0" fillId="0" borderId="0" xfId="0" applyNumberFormat="1" applyAlignment="1">
      <alignment horizontal="right"/>
    </xf>
    <xf numFmtId="0" fontId="30" fillId="0" borderId="0" xfId="8"/>
    <xf numFmtId="0" fontId="29" fillId="0" borderId="0" xfId="8" applyFont="1"/>
    <xf numFmtId="0" fontId="29" fillId="20" borderId="0" xfId="8" applyFont="1" applyFill="1" applyAlignment="1">
      <alignment horizontal="left"/>
    </xf>
    <xf numFmtId="0" fontId="30" fillId="11" borderId="0" xfId="8" applyFill="1" applyAlignment="1">
      <alignment horizontal="left"/>
    </xf>
    <xf numFmtId="0" fontId="30" fillId="0" borderId="0" xfId="8" applyAlignment="1">
      <alignment horizontal="left"/>
    </xf>
    <xf numFmtId="183" fontId="30" fillId="11" borderId="0" xfId="8" applyNumberFormat="1" applyFill="1" applyAlignment="1">
      <alignment horizontal="right"/>
    </xf>
    <xf numFmtId="183" fontId="30" fillId="0" borderId="0" xfId="8" applyNumberFormat="1" applyAlignment="1">
      <alignment horizontal="right"/>
    </xf>
    <xf numFmtId="0" fontId="30" fillId="24" borderId="0" xfId="8" applyFill="1" applyAlignment="1">
      <alignment horizontal="left"/>
    </xf>
    <xf numFmtId="183" fontId="30" fillId="24" borderId="0" xfId="8" applyNumberFormat="1" applyFill="1" applyAlignment="1">
      <alignment horizontal="right"/>
    </xf>
    <xf numFmtId="0" fontId="0" fillId="24" borderId="0" xfId="0" applyFill="1"/>
    <xf numFmtId="186" fontId="0" fillId="11" borderId="0" xfId="0" applyNumberFormat="1" applyFill="1" applyAlignment="1">
      <alignment horizontal="right"/>
    </xf>
    <xf numFmtId="186" fontId="0" fillId="0" borderId="0" xfId="0" applyNumberFormat="1" applyAlignment="1">
      <alignment horizontal="right"/>
    </xf>
    <xf numFmtId="186" fontId="22" fillId="0" borderId="0" xfId="0" applyNumberFormat="1" applyFont="1" applyAlignment="1">
      <alignment horizontal="right"/>
    </xf>
    <xf numFmtId="183" fontId="0" fillId="0" borderId="0" xfId="0" applyNumberFormat="1"/>
    <xf numFmtId="0" fontId="13" fillId="25" borderId="0" xfId="0" applyFont="1" applyFill="1"/>
    <xf numFmtId="185" fontId="30" fillId="11" borderId="0" xfId="8" applyNumberFormat="1" applyFill="1" applyAlignment="1">
      <alignment horizontal="right"/>
    </xf>
    <xf numFmtId="185" fontId="30" fillId="0" borderId="0" xfId="8" applyNumberFormat="1" applyAlignment="1">
      <alignment horizontal="right"/>
    </xf>
    <xf numFmtId="185" fontId="22" fillId="11" borderId="0" xfId="8" applyNumberFormat="1" applyFont="1" applyFill="1" applyAlignment="1">
      <alignment horizontal="right"/>
    </xf>
    <xf numFmtId="4" fontId="30" fillId="11" borderId="0" xfId="8" applyNumberFormat="1" applyFill="1" applyAlignment="1">
      <alignment horizontal="right"/>
    </xf>
    <xf numFmtId="184" fontId="30" fillId="11" borderId="0" xfId="8" applyNumberFormat="1" applyFill="1" applyAlignment="1">
      <alignment horizontal="right"/>
    </xf>
    <xf numFmtId="4" fontId="30" fillId="0" borderId="0" xfId="8" applyNumberFormat="1" applyAlignment="1">
      <alignment horizontal="right"/>
    </xf>
    <xf numFmtId="184" fontId="30" fillId="0" borderId="0" xfId="8" applyNumberFormat="1" applyAlignment="1">
      <alignment horizontal="right"/>
    </xf>
    <xf numFmtId="185" fontId="22" fillId="0" borderId="0" xfId="8" applyNumberFormat="1" applyFont="1" applyAlignment="1">
      <alignment horizontal="right"/>
    </xf>
    <xf numFmtId="184" fontId="22" fillId="11" borderId="0" xfId="8" applyNumberFormat="1" applyFont="1" applyFill="1" applyAlignment="1">
      <alignment horizontal="right"/>
    </xf>
    <xf numFmtId="0" fontId="0" fillId="26" borderId="0" xfId="0" applyFill="1"/>
    <xf numFmtId="0" fontId="29" fillId="26" borderId="0" xfId="0" applyFont="1" applyFill="1" applyAlignment="1">
      <alignment horizontal="left"/>
    </xf>
    <xf numFmtId="0" fontId="30" fillId="17" borderId="0" xfId="8" applyFill="1" applyAlignment="1">
      <alignment horizontal="left"/>
    </xf>
    <xf numFmtId="186" fontId="0" fillId="17" borderId="0" xfId="0" applyNumberFormat="1" applyFill="1" applyAlignment="1">
      <alignment horizontal="right"/>
    </xf>
    <xf numFmtId="183" fontId="0" fillId="17" borderId="0" xfId="0" applyNumberFormat="1" applyFill="1" applyAlignment="1">
      <alignment horizontal="right"/>
    </xf>
    <xf numFmtId="186" fontId="0" fillId="0" borderId="0" xfId="0" applyNumberFormat="1"/>
    <xf numFmtId="172" fontId="23" fillId="0" borderId="0" xfId="0" applyNumberFormat="1" applyFont="1" applyAlignment="1">
      <alignment horizontal="center"/>
    </xf>
    <xf numFmtId="41" fontId="12" fillId="0" borderId="12" xfId="1" applyNumberFormat="1" applyFont="1" applyFill="1" applyBorder="1" applyAlignment="1"/>
    <xf numFmtId="41" fontId="12" fillId="0" borderId="2" xfId="1" applyNumberFormat="1" applyFont="1" applyFill="1" applyBorder="1" applyAlignment="1"/>
    <xf numFmtId="41" fontId="12" fillId="0" borderId="13" xfId="1" applyNumberFormat="1" applyFont="1" applyFill="1" applyBorder="1" applyAlignment="1"/>
    <xf numFmtId="0" fontId="25" fillId="4" borderId="0" xfId="0" applyFont="1" applyFill="1" applyAlignment="1">
      <alignment horizontal="center" vertical="top" wrapText="1"/>
    </xf>
    <xf numFmtId="0" fontId="26" fillId="0" borderId="46" xfId="0" applyFont="1" applyBorder="1" applyAlignment="1">
      <alignment horizontal="center" wrapText="1"/>
    </xf>
    <xf numFmtId="0" fontId="26" fillId="0" borderId="47" xfId="0" applyFont="1" applyBorder="1" applyAlignment="1">
      <alignment horizontal="center" wrapText="1"/>
    </xf>
    <xf numFmtId="0" fontId="26" fillId="0" borderId="48" xfId="0" applyFont="1" applyBorder="1" applyAlignment="1">
      <alignment horizontal="center" wrapText="1"/>
    </xf>
    <xf numFmtId="0" fontId="27" fillId="0" borderId="46" xfId="0" applyFont="1" applyBorder="1" applyAlignment="1">
      <alignment horizontal="center" vertical="center" wrapText="1"/>
    </xf>
    <xf numFmtId="0" fontId="27" fillId="0" borderId="47"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46" xfId="0" applyFont="1" applyBorder="1" applyAlignment="1">
      <alignment horizontal="center" vertical="center" wrapText="1"/>
    </xf>
    <xf numFmtId="0" fontId="26" fillId="0" borderId="48" xfId="0" applyFont="1" applyBorder="1" applyAlignment="1">
      <alignment horizontal="center" vertical="center" wrapText="1"/>
    </xf>
    <xf numFmtId="0" fontId="24" fillId="4" borderId="46" xfId="5" applyFont="1" applyFill="1" applyBorder="1" applyAlignment="1">
      <alignment horizontal="center" vertical="center" wrapText="1"/>
    </xf>
    <xf numFmtId="0" fontId="24" fillId="4" borderId="47" xfId="5" applyFont="1" applyFill="1" applyBorder="1" applyAlignment="1">
      <alignment horizontal="center" vertical="center" wrapText="1"/>
    </xf>
    <xf numFmtId="0" fontId="24" fillId="4" borderId="48" xfId="5" applyFont="1" applyFill="1" applyBorder="1" applyAlignment="1">
      <alignment horizontal="center" vertical="center" wrapText="1"/>
    </xf>
    <xf numFmtId="0" fontId="13" fillId="8" borderId="15" xfId="0" applyFont="1" applyFill="1" applyBorder="1" applyAlignment="1">
      <alignment horizontal="center"/>
    </xf>
    <xf numFmtId="0" fontId="13" fillId="8" borderId="6" xfId="0" applyFont="1" applyFill="1" applyBorder="1" applyAlignment="1">
      <alignment horizontal="center"/>
    </xf>
    <xf numFmtId="0" fontId="13" fillId="8" borderId="16" xfId="0" applyFont="1" applyFill="1" applyBorder="1" applyAlignment="1">
      <alignment horizontal="center"/>
    </xf>
    <xf numFmtId="0" fontId="13" fillId="6" borderId="23" xfId="0" applyFont="1" applyFill="1" applyBorder="1" applyAlignment="1">
      <alignment horizontal="center" vertical="center"/>
    </xf>
    <xf numFmtId="0" fontId="13" fillId="6" borderId="37" xfId="0" applyFont="1" applyFill="1" applyBorder="1" applyAlignment="1">
      <alignment horizontal="center" vertical="center"/>
    </xf>
    <xf numFmtId="0" fontId="33" fillId="0" borderId="0" xfId="9"/>
  </cellXfs>
  <cellStyles count="10">
    <cellStyle name="Comma" xfId="1" builtinId="3"/>
    <cellStyle name="Comma 2" xfId="4" xr:uid="{00000000-0005-0000-0000-000001000000}"/>
    <cellStyle name="Comma 3" xfId="6" xr:uid="{00000000-0005-0000-0000-000002000000}"/>
    <cellStyle name="Hyperlink" xfId="9" builtinId="8"/>
    <cellStyle name="Normal" xfId="0" builtinId="0"/>
    <cellStyle name="Normal 2" xfId="5" xr:uid="{00000000-0005-0000-0000-000004000000}"/>
    <cellStyle name="Normal 3" xfId="8" xr:uid="{F20B8B4A-C85B-49E3-B222-E17841B323D8}"/>
    <cellStyle name="Percent" xfId="2" builtinId="5"/>
    <cellStyle name="Percent 2" xfId="3" xr:uid="{00000000-0005-0000-0000-000006000000}"/>
    <cellStyle name="Percent 3" xfId="7" xr:uid="{00000000-0005-0000-0000-000007000000}"/>
  </cellStyles>
  <dxfs count="0"/>
  <tableStyles count="0" defaultTableStyle="TableStyleMedium9" defaultPivotStyle="PivotStyleLight16"/>
  <colors>
    <mruColors>
      <color rgb="FFFFFFCC"/>
      <color rgb="FFFFFF99"/>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spPr>
            <a:ln w="28575" cap="rnd">
              <a:solidFill>
                <a:schemeClr val="accent1"/>
              </a:solidFill>
              <a:round/>
            </a:ln>
            <a:effectLst/>
          </c:spPr>
          <c:marker>
            <c:symbol val="none"/>
          </c:marker>
          <c:cat>
            <c:strRef>
              <c:f>'5 Forces'!$B$2:$B$6</c:f>
              <c:strCache>
                <c:ptCount val="5"/>
                <c:pt idx="0">
                  <c:v>Compettive Rivalry</c:v>
                </c:pt>
                <c:pt idx="1">
                  <c:v>Threat of subsitutes</c:v>
                </c:pt>
                <c:pt idx="2">
                  <c:v>Threat of Entry </c:v>
                </c:pt>
                <c:pt idx="3">
                  <c:v>Bargaining power of Buyers </c:v>
                </c:pt>
                <c:pt idx="4">
                  <c:v>Bargaining power of Suppliers  </c:v>
                </c:pt>
              </c:strCache>
            </c:strRef>
          </c:cat>
          <c:val>
            <c:numRef>
              <c:f>'5 Forces'!$C$2:$C$6</c:f>
              <c:numCache>
                <c:formatCode>General</c:formatCode>
                <c:ptCount val="5"/>
                <c:pt idx="0">
                  <c:v>5</c:v>
                </c:pt>
                <c:pt idx="1">
                  <c:v>1</c:v>
                </c:pt>
                <c:pt idx="2">
                  <c:v>1</c:v>
                </c:pt>
                <c:pt idx="3">
                  <c:v>4</c:v>
                </c:pt>
                <c:pt idx="4">
                  <c:v>3</c:v>
                </c:pt>
              </c:numCache>
            </c:numRef>
          </c:val>
          <c:extLst>
            <c:ext xmlns:c16="http://schemas.microsoft.com/office/drawing/2014/chart" uri="{C3380CC4-5D6E-409C-BE32-E72D297353CC}">
              <c16:uniqueId val="{00000000-439E-C34E-AFB4-4BAF30437B93}"/>
            </c:ext>
          </c:extLst>
        </c:ser>
        <c:ser>
          <c:idx val="1"/>
          <c:order val="1"/>
          <c:spPr>
            <a:ln w="28575" cap="rnd">
              <a:solidFill>
                <a:schemeClr val="accent2"/>
              </a:solidFill>
              <a:round/>
            </a:ln>
            <a:effectLst/>
          </c:spPr>
          <c:marker>
            <c:symbol val="none"/>
          </c:marker>
          <c:cat>
            <c:strRef>
              <c:f>'5 Forces'!$B$2:$B$6</c:f>
              <c:strCache>
                <c:ptCount val="5"/>
                <c:pt idx="0">
                  <c:v>Compettive Rivalry</c:v>
                </c:pt>
                <c:pt idx="1">
                  <c:v>Threat of subsitutes</c:v>
                </c:pt>
                <c:pt idx="2">
                  <c:v>Threat of Entry </c:v>
                </c:pt>
                <c:pt idx="3">
                  <c:v>Bargaining power of Buyers </c:v>
                </c:pt>
                <c:pt idx="4">
                  <c:v>Bargaining power of Suppliers  </c:v>
                </c:pt>
              </c:strCache>
            </c:strRef>
          </c:cat>
          <c:val>
            <c:numRef>
              <c:f>'5 Forces'!$D$2:$D$6</c:f>
              <c:numCache>
                <c:formatCode>General</c:formatCode>
                <c:ptCount val="5"/>
                <c:pt idx="0">
                  <c:v>5</c:v>
                </c:pt>
                <c:pt idx="1">
                  <c:v>1</c:v>
                </c:pt>
                <c:pt idx="2">
                  <c:v>1</c:v>
                </c:pt>
                <c:pt idx="3">
                  <c:v>3</c:v>
                </c:pt>
                <c:pt idx="4">
                  <c:v>3</c:v>
                </c:pt>
              </c:numCache>
            </c:numRef>
          </c:val>
          <c:extLst>
            <c:ext xmlns:c16="http://schemas.microsoft.com/office/drawing/2014/chart" uri="{C3380CC4-5D6E-409C-BE32-E72D297353CC}">
              <c16:uniqueId val="{00000001-439E-C34E-AFB4-4BAF30437B93}"/>
            </c:ext>
          </c:extLst>
        </c:ser>
        <c:dLbls>
          <c:showLegendKey val="0"/>
          <c:showVal val="0"/>
          <c:showCatName val="0"/>
          <c:showSerName val="0"/>
          <c:showPercent val="0"/>
          <c:showBubbleSize val="0"/>
        </c:dLbls>
        <c:axId val="1225597103"/>
        <c:axId val="1225309791"/>
      </c:radarChart>
      <c:catAx>
        <c:axId val="122559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309791"/>
        <c:crosses val="autoZero"/>
        <c:auto val="1"/>
        <c:lblAlgn val="ctr"/>
        <c:lblOffset val="100"/>
        <c:noMultiLvlLbl val="0"/>
      </c:catAx>
      <c:valAx>
        <c:axId val="122530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71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hyperlink" Target="https://chatgpt.com/" TargetMode="External"/></Relationships>
</file>

<file path=xl/drawings/drawing1.xml><?xml version="1.0" encoding="utf-8"?>
<xdr:wsDr xmlns:xdr="http://schemas.openxmlformats.org/drawingml/2006/spreadsheetDrawing" xmlns:a="http://schemas.openxmlformats.org/drawingml/2006/main">
  <xdr:twoCellAnchor editAs="oneCell">
    <xdr:from>
      <xdr:col>6</xdr:col>
      <xdr:colOff>253999</xdr:colOff>
      <xdr:row>9</xdr:row>
      <xdr:rowOff>80818</xdr:rowOff>
    </xdr:from>
    <xdr:to>
      <xdr:col>8</xdr:col>
      <xdr:colOff>454459</xdr:colOff>
      <xdr:row>14</xdr:row>
      <xdr:rowOff>8601</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35817" y="1858818"/>
          <a:ext cx="2327349" cy="912957"/>
        </a:xfrm>
        <a:prstGeom prst="rect">
          <a:avLst/>
        </a:prstGeom>
        <a:noFill/>
        <a:ln w="9525">
          <a:noFill/>
          <a:miter lim="800000"/>
          <a:headEnd/>
          <a:tailEnd/>
        </a:ln>
      </xdr:spPr>
    </xdr:pic>
    <xdr:clientData/>
  </xdr:twoCellAnchor>
  <xdr:twoCellAnchor editAs="oneCell">
    <xdr:from>
      <xdr:col>0</xdr:col>
      <xdr:colOff>0</xdr:colOff>
      <xdr:row>49</xdr:row>
      <xdr:rowOff>190499</xdr:rowOff>
    </xdr:from>
    <xdr:to>
      <xdr:col>13</xdr:col>
      <xdr:colOff>460334</xdr:colOff>
      <xdr:row>53</xdr:row>
      <xdr:rowOff>142873</xdr:rowOff>
    </xdr:to>
    <xdr:pic>
      <xdr:nvPicPr>
        <xdr:cNvPr id="2" name="Picture 1">
          <a:extLst>
            <a:ext uri="{FF2B5EF4-FFF2-40B4-BE49-F238E27FC236}">
              <a16:creationId xmlns:a16="http://schemas.microsoft.com/office/drawing/2014/main" id="{F90AEF9D-F583-D349-4FC8-9B558A2DB7F3}"/>
            </a:ext>
          </a:extLst>
        </xdr:cNvPr>
        <xdr:cNvPicPr>
          <a:picLocks noChangeAspect="1"/>
        </xdr:cNvPicPr>
      </xdr:nvPicPr>
      <xdr:blipFill>
        <a:blip xmlns:r="http://schemas.openxmlformats.org/officeDocument/2006/relationships" r:embed="rId2"/>
        <a:stretch>
          <a:fillRect/>
        </a:stretch>
      </xdr:blipFill>
      <xdr:spPr>
        <a:xfrm>
          <a:off x="0" y="9953624"/>
          <a:ext cx="15628897" cy="642937"/>
        </a:xfrm>
        <a:prstGeom prst="rect">
          <a:avLst/>
        </a:prstGeom>
      </xdr:spPr>
    </xdr:pic>
    <xdr:clientData/>
  </xdr:twoCellAnchor>
  <xdr:twoCellAnchor>
    <xdr:from>
      <xdr:col>9</xdr:col>
      <xdr:colOff>690563</xdr:colOff>
      <xdr:row>1</xdr:row>
      <xdr:rowOff>47625</xdr:rowOff>
    </xdr:from>
    <xdr:to>
      <xdr:col>23</xdr:col>
      <xdr:colOff>83344</xdr:colOff>
      <xdr:row>10</xdr:row>
      <xdr:rowOff>47625</xdr:rowOff>
    </xdr:to>
    <xdr:sp macro="" textlink="">
      <xdr:nvSpPr>
        <xdr:cNvPr id="4" name="TextBox 3">
          <a:extLst>
            <a:ext uri="{FF2B5EF4-FFF2-40B4-BE49-F238E27FC236}">
              <a16:creationId xmlns:a16="http://schemas.microsoft.com/office/drawing/2014/main" id="{53994517-72E9-EBC5-CFE2-0D09BAC5D0B0}"/>
            </a:ext>
          </a:extLst>
        </xdr:cNvPr>
        <xdr:cNvSpPr txBox="1"/>
      </xdr:nvSpPr>
      <xdr:spPr>
        <a:xfrm>
          <a:off x="13323094" y="250031"/>
          <a:ext cx="8001000" cy="17978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28575</xdr:colOff>
      <xdr:row>1</xdr:row>
      <xdr:rowOff>104775</xdr:rowOff>
    </xdr:from>
    <xdr:to>
      <xdr:col>23</xdr:col>
      <xdr:colOff>47625</xdr:colOff>
      <xdr:row>25</xdr:row>
      <xdr:rowOff>38100</xdr:rowOff>
    </xdr:to>
    <xdr:sp macro="" textlink="">
      <xdr:nvSpPr>
        <xdr:cNvPr id="2" name="TextBox 1">
          <a:extLst>
            <a:ext uri="{FF2B5EF4-FFF2-40B4-BE49-F238E27FC236}">
              <a16:creationId xmlns:a16="http://schemas.microsoft.com/office/drawing/2014/main" id="{700189E3-00BA-82D6-06F7-49FB49A953C8}"/>
            </a:ext>
          </a:extLst>
        </xdr:cNvPr>
        <xdr:cNvSpPr txBox="1"/>
      </xdr:nvSpPr>
      <xdr:spPr>
        <a:xfrm>
          <a:off x="8153400" y="295275"/>
          <a:ext cx="7943850" cy="494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Personal Notes</a:t>
          </a:r>
        </a:p>
        <a:p>
          <a:endParaRPr lang="en-US" sz="1100"/>
        </a:p>
        <a:p>
          <a:r>
            <a:rPr lang="en-US" sz="1100"/>
            <a:t>g/ROIC = Investment Rate</a:t>
          </a:r>
        </a:p>
        <a:p>
          <a:endParaRPr lang="en-US" sz="1100"/>
        </a:p>
        <a:p>
          <a:r>
            <a:rPr lang="en-US" sz="1100"/>
            <a:t>ROE = Net Income/Revenue * Revenue/Average Total Assets * Average Total Assets/Average Total equity</a:t>
          </a:r>
        </a:p>
        <a:p>
          <a:endParaRPr lang="en-US" sz="1100"/>
        </a:p>
        <a:p>
          <a:r>
            <a:rPr lang="en-US" sz="1100"/>
            <a:t>NI/Sales = net profit margin</a:t>
          </a:r>
        </a:p>
        <a:p>
          <a:r>
            <a:rPr lang="en-US" sz="1100"/>
            <a:t>S/TA = asset turnover? (S/IC) minimize the capital and increase overturn the sales ?</a:t>
          </a:r>
        </a:p>
        <a:p>
          <a:r>
            <a:rPr lang="en-US" sz="1100"/>
            <a:t>TA/Equity = Financial Leverage </a:t>
          </a:r>
        </a:p>
        <a:p>
          <a:endParaRPr lang="en-US" sz="1100"/>
        </a:p>
        <a:p>
          <a:r>
            <a:rPr lang="en-US" sz="1100"/>
            <a:t>we can influence ROE with net profit margin</a:t>
          </a:r>
        </a:p>
        <a:p>
          <a:r>
            <a:rPr lang="en-US" sz="1100"/>
            <a:t>	-reduce cost?</a:t>
          </a:r>
        </a:p>
        <a:p>
          <a:r>
            <a:rPr lang="en-US" sz="1100"/>
            <a:t>	-increase prices?</a:t>
          </a:r>
        </a:p>
        <a:p>
          <a:endParaRPr lang="en-US" sz="1100"/>
        </a:p>
        <a:p>
          <a:r>
            <a:rPr lang="en-US" sz="1100"/>
            <a:t>V = EBIT(1-T)(1-IR) / WACC - g</a:t>
          </a:r>
        </a:p>
        <a:p>
          <a:endParaRPr lang="en-US" sz="1100"/>
        </a:p>
        <a:p>
          <a:r>
            <a:rPr lang="en-US" sz="1100"/>
            <a:t>if you want to manage value you</a:t>
          </a:r>
          <a:r>
            <a:rPr lang="en-US" sz="1100" baseline="0"/>
            <a:t> have to manage operating income (ie taxes, ROIC, cost of capital, growth)</a:t>
          </a:r>
        </a:p>
        <a:p>
          <a:r>
            <a:rPr lang="en-US" sz="1100" baseline="0"/>
            <a:t>patents.... products</a:t>
          </a:r>
        </a:p>
        <a:p>
          <a:r>
            <a:rPr lang="en-US" sz="1100" baseline="0"/>
            <a:t>higher net profit margins</a:t>
          </a:r>
        </a:p>
        <a:p>
          <a:r>
            <a:rPr lang="en-US" sz="1100" baseline="0"/>
            <a:t>refinancing </a:t>
          </a:r>
        </a:p>
        <a:p>
          <a:endParaRPr lang="en-US" sz="1100" baseline="0"/>
        </a:p>
        <a:p>
          <a:endParaRPr lang="en-US"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28575</xdr:colOff>
      <xdr:row>1</xdr:row>
      <xdr:rowOff>47625</xdr:rowOff>
    </xdr:from>
    <xdr:to>
      <xdr:col>25</xdr:col>
      <xdr:colOff>285750</xdr:colOff>
      <xdr:row>21</xdr:row>
      <xdr:rowOff>0</xdr:rowOff>
    </xdr:to>
    <xdr:sp macro="" textlink="">
      <xdr:nvSpPr>
        <xdr:cNvPr id="4" name="TextBox 3">
          <a:extLst>
            <a:ext uri="{FF2B5EF4-FFF2-40B4-BE49-F238E27FC236}">
              <a16:creationId xmlns:a16="http://schemas.microsoft.com/office/drawing/2014/main" id="{AD9CC892-67A4-E1A7-45A7-1513C5F9C3AC}"/>
            </a:ext>
          </a:extLst>
        </xdr:cNvPr>
        <xdr:cNvSpPr txBox="1"/>
      </xdr:nvSpPr>
      <xdr:spPr>
        <a:xfrm>
          <a:off x="11963400" y="238125"/>
          <a:ext cx="5133975" cy="3762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Personal Notes</a:t>
          </a:r>
        </a:p>
        <a:p>
          <a:endParaRPr lang="en-US" sz="1100"/>
        </a:p>
        <a:p>
          <a:r>
            <a:rPr lang="en-US" sz="1100"/>
            <a:t>collect thoughts on each of 5 forces with bullet points</a:t>
          </a:r>
        </a:p>
        <a:p>
          <a:endParaRPr lang="en-US" sz="1100"/>
        </a:p>
        <a:p>
          <a:r>
            <a:rPr lang="en-US" sz="1100"/>
            <a:t>Evaluate</a:t>
          </a:r>
          <a:r>
            <a:rPr lang="en-US" sz="1100" baseline="0"/>
            <a:t> the industry. attractive long term profitibility?</a:t>
          </a:r>
        </a:p>
        <a:p>
          <a:endParaRPr lang="en-US" sz="1100" baseline="0"/>
        </a:p>
        <a:p>
          <a:r>
            <a:rPr lang="en-US" sz="1100"/>
            <a:t>scale 1 - 5. rank each of the porters 5 forces 1 - 5 on radar chart</a:t>
          </a:r>
        </a:p>
        <a:p>
          <a:endParaRPr lang="en-US" sz="1100"/>
        </a:p>
        <a:p>
          <a:r>
            <a:rPr lang="en-US" sz="1100"/>
            <a:t>5 forces for today and 5 years from now. so radar chart will have a blue and a red graph for each time horizon</a:t>
          </a:r>
        </a:p>
        <a:p>
          <a:endParaRPr lang="en-US" sz="1100"/>
        </a:p>
        <a:p>
          <a:r>
            <a:rPr lang="en-US" sz="1100"/>
            <a:t>threat of entry: oligolopy or not profit? too much economies</a:t>
          </a:r>
          <a:r>
            <a:rPr lang="en-US" sz="1100" baseline="0"/>
            <a:t> of scale</a:t>
          </a:r>
          <a:endParaRPr lang="en-US" sz="1100"/>
        </a:p>
        <a:p>
          <a:endParaRPr lang="en-US" sz="1100"/>
        </a:p>
        <a:p>
          <a:r>
            <a:rPr lang="en-US" sz="1100"/>
            <a:t>threat of substitutes ? different products? </a:t>
          </a:r>
        </a:p>
        <a:p>
          <a:endParaRPr lang="en-US" sz="1100"/>
        </a:p>
        <a:p>
          <a:r>
            <a:rPr lang="en-US" sz="1100"/>
            <a:t>Bargain power of buyers?</a:t>
          </a:r>
          <a:r>
            <a:rPr lang="en-US" sz="1100" baseline="0"/>
            <a:t> competitive sellers?</a:t>
          </a:r>
        </a:p>
        <a:p>
          <a:endParaRPr lang="en-US" sz="1100" baseline="0"/>
        </a:p>
        <a:p>
          <a:r>
            <a:rPr lang="en-US" sz="1100" baseline="0"/>
            <a:t>Bargain power of suppliers? supplier of inputs? lot of those suppliers?</a:t>
          </a:r>
        </a:p>
        <a:p>
          <a:endParaRPr lang="en-US" sz="1100" baseline="0"/>
        </a:p>
        <a:p>
          <a:r>
            <a:rPr lang="en-US" sz="1100" baseline="0"/>
            <a:t>Rivarly of existing competitors? brand quality?</a:t>
          </a:r>
        </a:p>
        <a:p>
          <a:endParaRPr lang="en-US" sz="1100" baseline="0"/>
        </a:p>
        <a:p>
          <a:endParaRPr lang="en-US" sz="1100"/>
        </a:p>
      </xdr:txBody>
    </xdr:sp>
    <xdr:clientData/>
  </xdr:twoCellAnchor>
  <xdr:twoCellAnchor>
    <xdr:from>
      <xdr:col>0</xdr:col>
      <xdr:colOff>600075</xdr:colOff>
      <xdr:row>7</xdr:row>
      <xdr:rowOff>47625</xdr:rowOff>
    </xdr:from>
    <xdr:to>
      <xdr:col>5</xdr:col>
      <xdr:colOff>9525</xdr:colOff>
      <xdr:row>29</xdr:row>
      <xdr:rowOff>19050</xdr:rowOff>
    </xdr:to>
    <xdr:sp macro="" textlink="">
      <xdr:nvSpPr>
        <xdr:cNvPr id="7" name="TextBox 6">
          <a:hlinkClick xmlns:r="http://schemas.openxmlformats.org/officeDocument/2006/relationships" r:id="rId1"/>
          <a:extLst>
            <a:ext uri="{FF2B5EF4-FFF2-40B4-BE49-F238E27FC236}">
              <a16:creationId xmlns:a16="http://schemas.microsoft.com/office/drawing/2014/main" id="{3A230D22-845F-6115-27B7-FC9F1755AEAD}"/>
            </a:ext>
          </a:extLst>
        </xdr:cNvPr>
        <xdr:cNvSpPr txBox="1"/>
      </xdr:nvSpPr>
      <xdr:spPr>
        <a:xfrm>
          <a:off x="600075" y="1381125"/>
          <a:ext cx="4029075" cy="416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Threat of Entry:</a:t>
          </a:r>
          <a:r>
            <a:rPr lang="en-US" sz="1100" b="1" baseline="0"/>
            <a:t> </a:t>
          </a:r>
          <a:r>
            <a:rPr lang="en-US" sz="1100" baseline="0"/>
            <a:t>Quite low. Like most major industries the overall infrastructure makes it difficult to break through the barrier of entry. The semi conductor industry requires major capital and skilled execution to enter</a:t>
          </a:r>
        </a:p>
        <a:p>
          <a:endParaRPr lang="en-US" sz="1100" baseline="0"/>
        </a:p>
        <a:p>
          <a:r>
            <a:rPr lang="en-US" sz="1100" b="1" baseline="0"/>
            <a:t>Threat of Substitutes: </a:t>
          </a:r>
          <a:r>
            <a:rPr lang="en-US" sz="1100" b="0" baseline="0"/>
            <a:t>Highly specialized products make the threat of substitutes unlikely. Though through techonolgical innovation possibility for substitutes in the future</a:t>
          </a:r>
        </a:p>
        <a:p>
          <a:endParaRPr lang="en-US" sz="1100" b="0" baseline="0"/>
        </a:p>
        <a:p>
          <a:r>
            <a:rPr lang="en-US" sz="1100" b="1" baseline="0"/>
            <a:t>Bargaining Power of Buyers: </a:t>
          </a:r>
          <a:r>
            <a:rPr lang="en-US" sz="1100" b="0" baseline="0"/>
            <a:t>A few large buyers in the industry. Which gives them some power</a:t>
          </a:r>
        </a:p>
        <a:p>
          <a:endParaRPr lang="en-US" sz="1100" b="0" baseline="0"/>
        </a:p>
        <a:p>
          <a:r>
            <a:rPr lang="en-US" sz="1100" b="1" baseline="0"/>
            <a:t>Bargaining Power of Suppliers: </a:t>
          </a:r>
          <a:r>
            <a:rPr lang="en-US" sz="1100" b="0" baseline="0"/>
            <a:t>Specialized suppliers gives some power to the suppliers. But given AMATs industry dominance it is not of much concern</a:t>
          </a:r>
        </a:p>
        <a:p>
          <a:endParaRPr lang="en-US" sz="1100" b="0" baseline="0"/>
        </a:p>
        <a:p>
          <a:r>
            <a:rPr lang="en-US" sz="1100" b="1" baseline="0"/>
            <a:t>Rivalry among existing competitors: </a:t>
          </a:r>
          <a:r>
            <a:rPr lang="en-US" sz="1100" b="0" baseline="0"/>
            <a:t>Moderate to high threat from competitors but AMATs intensivness on Research and development keeps them at the head of this industry</a:t>
          </a:r>
        </a:p>
        <a:p>
          <a:endParaRPr lang="en-US" sz="1100" b="0" baseline="0"/>
        </a:p>
        <a:p>
          <a:r>
            <a:rPr lang="en-US" sz="1100" b="0" baseline="0"/>
            <a:t>*This analysis was paraphrased from AI*</a:t>
          </a:r>
        </a:p>
        <a:p>
          <a:r>
            <a:rPr lang="en-US" sz="1100" b="1"/>
            <a:t>https://chatgpt.com/ </a:t>
          </a:r>
        </a:p>
        <a:p>
          <a:endParaRPr lang="en-US" sz="1100" b="1"/>
        </a:p>
        <a:p>
          <a:endParaRPr lang="en-US" sz="1100" b="1"/>
        </a:p>
      </xdr:txBody>
    </xdr:sp>
    <xdr:clientData/>
  </xdr:twoCellAnchor>
  <xdr:twoCellAnchor>
    <xdr:from>
      <xdr:col>7</xdr:col>
      <xdr:colOff>336550</xdr:colOff>
      <xdr:row>8</xdr:row>
      <xdr:rowOff>69850</xdr:rowOff>
    </xdr:from>
    <xdr:to>
      <xdr:col>15</xdr:col>
      <xdr:colOff>254000</xdr:colOff>
      <xdr:row>26</xdr:row>
      <xdr:rowOff>38100</xdr:rowOff>
    </xdr:to>
    <xdr:graphicFrame macro="">
      <xdr:nvGraphicFramePr>
        <xdr:cNvPr id="2" name="Chart 1">
          <a:extLst>
            <a:ext uri="{FF2B5EF4-FFF2-40B4-BE49-F238E27FC236}">
              <a16:creationId xmlns:a16="http://schemas.microsoft.com/office/drawing/2014/main" id="{EBE6BC89-732F-F215-7808-A99F5BA45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porteranalysis.com/porters-five-forces-of-applied-materials/" TargetMode="External"/><Relationship Id="rId2" Type="http://schemas.openxmlformats.org/officeDocument/2006/relationships/hyperlink" Target="https://www.hivelr.com/2023/12/applied-materials-amat-porters-five-forces-industry-and-competition-analysis/" TargetMode="External"/><Relationship Id="rId1" Type="http://schemas.openxmlformats.org/officeDocument/2006/relationships/hyperlink" Target="https://dcf.fm/products/amat-porters-five-forces-analysis"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142"/>
  <sheetViews>
    <sheetView zoomScale="90" zoomScaleNormal="90" workbookViewId="0">
      <selection activeCell="Q25" sqref="Q25"/>
    </sheetView>
  </sheetViews>
  <sheetFormatPr baseColWidth="10" defaultColWidth="9.1640625" defaultRowHeight="14" x14ac:dyDescent="0.2"/>
  <cols>
    <col min="1" max="1" width="2.6640625" style="3" customWidth="1"/>
    <col min="2" max="2" width="34.6640625" style="1" customWidth="1"/>
    <col min="3" max="8" width="9.6640625" style="1" customWidth="1"/>
    <col min="9" max="9" width="2.6640625" style="3" customWidth="1"/>
    <col min="10" max="10" width="37.5" style="1" bestFit="1" customWidth="1"/>
    <col min="11" max="16" width="9.6640625" style="1" customWidth="1"/>
    <col min="17" max="17" width="10.6640625" style="1" customWidth="1"/>
    <col min="18" max="23" width="9.1640625" style="3"/>
    <col min="24" max="16384" width="9.1640625" style="1"/>
  </cols>
  <sheetData>
    <row r="1" spans="1:17" ht="16" x14ac:dyDescent="0.2">
      <c r="B1" s="30" t="s">
        <v>217</v>
      </c>
      <c r="C1" s="186" t="s">
        <v>60</v>
      </c>
      <c r="D1" s="41"/>
      <c r="E1" s="41"/>
      <c r="F1" s="41"/>
      <c r="G1" s="41"/>
      <c r="H1" s="42"/>
      <c r="J1" s="30" t="s">
        <v>0</v>
      </c>
      <c r="K1" s="41"/>
      <c r="L1" s="41"/>
      <c r="M1" s="41"/>
      <c r="N1" s="41"/>
      <c r="O1" s="41"/>
      <c r="P1" s="42"/>
      <c r="Q1" s="3"/>
    </row>
    <row r="2" spans="1:17" ht="15" x14ac:dyDescent="0.2">
      <c r="A2" s="18"/>
      <c r="B2" s="43" t="s">
        <v>1</v>
      </c>
      <c r="C2" s="414" t="s">
        <v>178</v>
      </c>
      <c r="D2" s="414" t="s">
        <v>177</v>
      </c>
      <c r="E2" s="414" t="s">
        <v>176</v>
      </c>
      <c r="F2" s="414" t="s">
        <v>175</v>
      </c>
      <c r="G2" s="414" t="s">
        <v>174</v>
      </c>
      <c r="H2" s="413" t="s">
        <v>173</v>
      </c>
      <c r="I2" s="18"/>
      <c r="J2" s="43" t="s">
        <v>1</v>
      </c>
      <c r="K2" s="17" t="str">
        <f>C2</f>
        <v>OCT '18</v>
      </c>
      <c r="L2" s="17" t="str">
        <f t="shared" ref="L2:L3" si="0">D2</f>
        <v>OCT '19</v>
      </c>
      <c r="M2" s="17" t="str">
        <f t="shared" ref="M2:M3" si="1">E2</f>
        <v>OCT '20</v>
      </c>
      <c r="N2" s="17" t="str">
        <f t="shared" ref="N2:N3" si="2">F2</f>
        <v>OCT '21</v>
      </c>
      <c r="O2" s="17" t="str">
        <f t="shared" ref="O2:O3" si="3">G2</f>
        <v>OCT '22</v>
      </c>
      <c r="P2" s="31" t="str">
        <f t="shared" ref="P2:P3" si="4">H2</f>
        <v>OCT '23</v>
      </c>
      <c r="Q2" s="18"/>
    </row>
    <row r="3" spans="1:17" ht="16" thickBot="1" x14ac:dyDescent="0.25">
      <c r="A3" s="15"/>
      <c r="B3" s="259"/>
      <c r="C3" s="414" t="s">
        <v>179</v>
      </c>
      <c r="D3" s="414"/>
      <c r="E3" s="414"/>
      <c r="F3" s="414"/>
      <c r="G3" s="414"/>
      <c r="H3" s="263"/>
      <c r="I3" s="15"/>
      <c r="J3" s="44"/>
      <c r="K3" s="175" t="str">
        <f>C3</f>
        <v>Restate</v>
      </c>
      <c r="L3" s="175">
        <f t="shared" si="0"/>
        <v>0</v>
      </c>
      <c r="M3" s="175">
        <f t="shared" si="1"/>
        <v>0</v>
      </c>
      <c r="N3" s="175">
        <f t="shared" si="2"/>
        <v>0</v>
      </c>
      <c r="O3" s="175">
        <f t="shared" si="3"/>
        <v>0</v>
      </c>
      <c r="P3" s="176">
        <f t="shared" si="4"/>
        <v>0</v>
      </c>
      <c r="Q3" s="15"/>
    </row>
    <row r="4" spans="1:17" x14ac:dyDescent="0.2">
      <c r="A4" s="4"/>
      <c r="B4" s="374" t="s">
        <v>2</v>
      </c>
      <c r="C4" s="374"/>
      <c r="D4" s="374"/>
      <c r="E4" s="374"/>
      <c r="F4" s="374"/>
      <c r="G4" s="374"/>
      <c r="H4" s="336"/>
      <c r="I4" s="4"/>
      <c r="J4" s="354" t="s">
        <v>3</v>
      </c>
      <c r="K4" s="355">
        <f>+K39*0.02</f>
        <v>334.1</v>
      </c>
      <c r="L4" s="355">
        <f t="shared" ref="L4:P4" si="5">+L39*0.02</f>
        <v>292.16000000000003</v>
      </c>
      <c r="M4" s="355">
        <f t="shared" si="5"/>
        <v>344</v>
      </c>
      <c r="N4" s="355">
        <f t="shared" si="5"/>
        <v>461.18</v>
      </c>
      <c r="O4" s="355">
        <f t="shared" si="5"/>
        <v>513.70000000000005</v>
      </c>
      <c r="P4" s="356">
        <f t="shared" si="5"/>
        <v>529.08000000000004</v>
      </c>
      <c r="Q4" s="4"/>
    </row>
    <row r="5" spans="1:17" x14ac:dyDescent="0.2">
      <c r="A5" s="4"/>
      <c r="B5" s="375" t="s">
        <v>73</v>
      </c>
      <c r="C5" s="252">
        <v>4030</v>
      </c>
      <c r="D5" s="252">
        <v>3618</v>
      </c>
      <c r="E5" s="252">
        <v>5738</v>
      </c>
      <c r="F5" s="252">
        <v>5459</v>
      </c>
      <c r="G5" s="252">
        <v>2581</v>
      </c>
      <c r="H5" s="252">
        <v>6869</v>
      </c>
      <c r="I5" s="4"/>
      <c r="J5" s="247" t="s">
        <v>76</v>
      </c>
      <c r="K5" s="238">
        <f>C8</f>
        <v>2422</v>
      </c>
      <c r="L5" s="238">
        <f t="shared" ref="L5:P5" si="6">D8</f>
        <v>2641</v>
      </c>
      <c r="M5" s="238">
        <f t="shared" si="6"/>
        <v>3111</v>
      </c>
      <c r="N5" s="238">
        <f t="shared" si="6"/>
        <v>5154</v>
      </c>
      <c r="O5" s="238">
        <f t="shared" si="6"/>
        <v>6241</v>
      </c>
      <c r="P5" s="266">
        <f t="shared" si="6"/>
        <v>5439</v>
      </c>
      <c r="Q5" s="4"/>
    </row>
    <row r="6" spans="1:17" ht="15" x14ac:dyDescent="0.2">
      <c r="A6" s="4"/>
      <c r="B6" s="376" t="s">
        <v>74</v>
      </c>
      <c r="C6" s="383">
        <v>3440</v>
      </c>
      <c r="D6" s="383">
        <v>3129</v>
      </c>
      <c r="E6" s="383">
        <v>5351</v>
      </c>
      <c r="F6" s="383">
        <v>4995</v>
      </c>
      <c r="G6" s="383">
        <v>1995</v>
      </c>
      <c r="H6" s="383">
        <v>6132</v>
      </c>
      <c r="I6" s="4"/>
      <c r="J6" s="247" t="s">
        <v>4</v>
      </c>
      <c r="K6" s="238">
        <f>C12</f>
        <v>3721</v>
      </c>
      <c r="L6" s="238">
        <f t="shared" ref="L6:P6" si="7">D12</f>
        <v>3474</v>
      </c>
      <c r="M6" s="238">
        <f t="shared" si="7"/>
        <v>3904</v>
      </c>
      <c r="N6" s="238">
        <f t="shared" si="7"/>
        <v>4309</v>
      </c>
      <c r="O6" s="238">
        <f t="shared" si="7"/>
        <v>5932</v>
      </c>
      <c r="P6" s="238">
        <f t="shared" si="7"/>
        <v>5725</v>
      </c>
      <c r="Q6" s="4"/>
    </row>
    <row r="7" spans="1:17" ht="15" x14ac:dyDescent="0.2">
      <c r="A7" s="5"/>
      <c r="B7" s="377" t="s">
        <v>75</v>
      </c>
      <c r="C7" s="245">
        <v>590</v>
      </c>
      <c r="D7" s="245">
        <v>489</v>
      </c>
      <c r="E7" s="245">
        <v>387</v>
      </c>
      <c r="F7" s="245">
        <v>464</v>
      </c>
      <c r="G7" s="245">
        <v>586</v>
      </c>
      <c r="H7" s="245">
        <v>737</v>
      </c>
      <c r="I7" s="5"/>
      <c r="J7" s="247" t="s">
        <v>83</v>
      </c>
      <c r="K7" s="238">
        <f t="shared" ref="K7:P7" si="8">C17</f>
        <v>431</v>
      </c>
      <c r="L7" s="238">
        <f t="shared" si="8"/>
        <v>473</v>
      </c>
      <c r="M7" s="238">
        <f t="shared" si="8"/>
        <v>616</v>
      </c>
      <c r="N7" s="238">
        <f t="shared" si="8"/>
        <v>1185</v>
      </c>
      <c r="O7" s="238">
        <f t="shared" si="8"/>
        <v>1171</v>
      </c>
      <c r="P7" s="266">
        <f t="shared" si="8"/>
        <v>1114</v>
      </c>
      <c r="Q7" s="5"/>
    </row>
    <row r="8" spans="1:17" x14ac:dyDescent="0.2">
      <c r="A8" s="5"/>
      <c r="B8" s="378" t="s">
        <v>76</v>
      </c>
      <c r="C8" s="270">
        <v>2422</v>
      </c>
      <c r="D8" s="270">
        <v>2641</v>
      </c>
      <c r="E8" s="270">
        <v>3111</v>
      </c>
      <c r="F8" s="270">
        <v>5154</v>
      </c>
      <c r="G8" s="270">
        <v>6241</v>
      </c>
      <c r="H8" s="270">
        <v>5439</v>
      </c>
      <c r="I8" s="5"/>
      <c r="J8" s="337" t="s">
        <v>5</v>
      </c>
      <c r="K8" s="338">
        <f t="shared" ref="K8:P8" si="9">SUM(K4:K7)</f>
        <v>6908.1</v>
      </c>
      <c r="L8" s="338">
        <f t="shared" si="9"/>
        <v>6880.16</v>
      </c>
      <c r="M8" s="338">
        <f t="shared" si="9"/>
        <v>7975</v>
      </c>
      <c r="N8" s="338">
        <f t="shared" si="9"/>
        <v>11109.18</v>
      </c>
      <c r="O8" s="338">
        <f t="shared" si="9"/>
        <v>13857.7</v>
      </c>
      <c r="P8" s="339">
        <f t="shared" si="9"/>
        <v>12807.08</v>
      </c>
      <c r="Q8" s="5"/>
    </row>
    <row r="9" spans="1:17" x14ac:dyDescent="0.2">
      <c r="A9" s="13"/>
      <c r="B9" s="379" t="s">
        <v>77</v>
      </c>
      <c r="C9" s="252">
        <v>2422</v>
      </c>
      <c r="D9" s="252">
        <v>2641</v>
      </c>
      <c r="E9" s="252">
        <v>3111</v>
      </c>
      <c r="F9" s="252">
        <v>5154</v>
      </c>
      <c r="G9" s="252">
        <v>6241</v>
      </c>
      <c r="H9" s="252">
        <v>5439</v>
      </c>
      <c r="I9" s="13"/>
      <c r="J9" s="254"/>
      <c r="K9" s="238"/>
      <c r="L9" s="238"/>
      <c r="M9" s="238"/>
      <c r="N9" s="238"/>
      <c r="O9" s="238"/>
      <c r="P9" s="266"/>
      <c r="Q9" s="13"/>
    </row>
    <row r="10" spans="1:17" ht="15" x14ac:dyDescent="0.2">
      <c r="A10" s="5"/>
      <c r="B10" s="380" t="s">
        <v>78</v>
      </c>
      <c r="C10" s="383">
        <v>2455</v>
      </c>
      <c r="D10" s="383">
        <v>2671</v>
      </c>
      <c r="E10" s="383">
        <v>3141</v>
      </c>
      <c r="F10" s="383">
        <v>5183</v>
      </c>
      <c r="G10" s="383">
        <v>6270</v>
      </c>
      <c r="H10" s="383">
        <v>5468</v>
      </c>
      <c r="I10" s="5"/>
      <c r="J10" s="251" t="s">
        <v>104</v>
      </c>
      <c r="K10" s="238">
        <f t="shared" ref="K10:P12" si="10">C44</f>
        <v>996</v>
      </c>
      <c r="L10" s="238">
        <f t="shared" si="10"/>
        <v>958</v>
      </c>
      <c r="M10" s="238">
        <f t="shared" si="10"/>
        <v>1124</v>
      </c>
      <c r="N10" s="238">
        <f t="shared" si="10"/>
        <v>1472</v>
      </c>
      <c r="O10" s="238">
        <f t="shared" si="10"/>
        <v>1755</v>
      </c>
      <c r="P10" s="266">
        <f t="shared" si="10"/>
        <v>1478</v>
      </c>
      <c r="Q10" s="5"/>
    </row>
    <row r="11" spans="1:17" ht="15" x14ac:dyDescent="0.2">
      <c r="A11" s="5"/>
      <c r="B11" s="381" t="s">
        <v>79</v>
      </c>
      <c r="C11" s="384">
        <v>-33</v>
      </c>
      <c r="D11" s="384">
        <v>-30</v>
      </c>
      <c r="E11" s="384">
        <v>-30</v>
      </c>
      <c r="F11" s="384">
        <v>-29</v>
      </c>
      <c r="G11" s="384">
        <v>-29</v>
      </c>
      <c r="H11" s="384">
        <v>-29</v>
      </c>
      <c r="I11" s="5"/>
      <c r="J11" s="251" t="s">
        <v>105</v>
      </c>
      <c r="K11" s="238">
        <f t="shared" si="10"/>
        <v>136</v>
      </c>
      <c r="L11" s="238">
        <f t="shared" si="10"/>
        <v>160</v>
      </c>
      <c r="M11" s="238">
        <f t="shared" si="10"/>
        <v>222</v>
      </c>
      <c r="N11" s="238">
        <f t="shared" si="10"/>
        <v>734</v>
      </c>
      <c r="O11" s="238">
        <f t="shared" si="10"/>
        <v>319</v>
      </c>
      <c r="P11" s="266">
        <f t="shared" si="10"/>
        <v>282</v>
      </c>
      <c r="Q11" s="5"/>
    </row>
    <row r="12" spans="1:17" x14ac:dyDescent="0.2">
      <c r="A12" s="4"/>
      <c r="B12" s="378" t="s">
        <v>4</v>
      </c>
      <c r="C12" s="270">
        <v>3721</v>
      </c>
      <c r="D12" s="270">
        <v>3474</v>
      </c>
      <c r="E12" s="270">
        <v>3904</v>
      </c>
      <c r="F12" s="270">
        <v>4309</v>
      </c>
      <c r="G12" s="270">
        <v>5932</v>
      </c>
      <c r="H12" s="270">
        <v>5725</v>
      </c>
      <c r="I12" s="4"/>
      <c r="J12" s="247" t="s">
        <v>32</v>
      </c>
      <c r="K12" s="238">
        <f t="shared" si="10"/>
        <v>2790</v>
      </c>
      <c r="L12" s="238">
        <f t="shared" si="10"/>
        <v>2729</v>
      </c>
      <c r="M12" s="238">
        <f t="shared" si="10"/>
        <v>3049</v>
      </c>
      <c r="N12" s="238">
        <f t="shared" si="10"/>
        <v>4065</v>
      </c>
      <c r="O12" s="238">
        <f t="shared" si="10"/>
        <v>5220</v>
      </c>
      <c r="P12" s="266">
        <f t="shared" si="10"/>
        <v>5326</v>
      </c>
      <c r="Q12" s="4"/>
    </row>
    <row r="13" spans="1:17" ht="16" thickBot="1" x14ac:dyDescent="0.25">
      <c r="A13" s="4"/>
      <c r="B13" s="377" t="s">
        <v>80</v>
      </c>
      <c r="C13" s="245">
        <v>1207</v>
      </c>
      <c r="D13" s="245">
        <v>852</v>
      </c>
      <c r="E13" s="245">
        <v>1140</v>
      </c>
      <c r="F13" s="245">
        <v>1049</v>
      </c>
      <c r="G13" s="245">
        <v>1687</v>
      </c>
      <c r="H13" s="245">
        <v>1486</v>
      </c>
      <c r="I13" s="4"/>
      <c r="J13" s="340" t="s">
        <v>7</v>
      </c>
      <c r="K13" s="341">
        <f t="shared" ref="K13:P13" si="11">SUM(K10:K12)</f>
        <v>3922</v>
      </c>
      <c r="L13" s="341">
        <f t="shared" si="11"/>
        <v>3847</v>
      </c>
      <c r="M13" s="341">
        <f t="shared" si="11"/>
        <v>4395</v>
      </c>
      <c r="N13" s="341">
        <f t="shared" si="11"/>
        <v>6271</v>
      </c>
      <c r="O13" s="341">
        <f t="shared" si="11"/>
        <v>7294</v>
      </c>
      <c r="P13" s="342">
        <f t="shared" si="11"/>
        <v>7086</v>
      </c>
      <c r="Q13" s="4"/>
    </row>
    <row r="14" spans="1:17" ht="16" thickBot="1" x14ac:dyDescent="0.25">
      <c r="A14" s="4"/>
      <c r="B14" s="376" t="s">
        <v>81</v>
      </c>
      <c r="C14" s="383">
        <v>505</v>
      </c>
      <c r="D14" s="383">
        <v>575</v>
      </c>
      <c r="E14" s="383">
        <v>624</v>
      </c>
      <c r="F14" s="383">
        <v>873</v>
      </c>
      <c r="G14" s="383">
        <v>1029</v>
      </c>
      <c r="H14" s="383">
        <v>997</v>
      </c>
      <c r="I14" s="4"/>
      <c r="J14" s="3"/>
      <c r="K14" s="13"/>
      <c r="L14" s="4"/>
      <c r="M14" s="4"/>
      <c r="N14" s="4"/>
      <c r="O14" s="4"/>
      <c r="P14" s="4"/>
      <c r="Q14" s="4"/>
    </row>
    <row r="15" spans="1:17" ht="15" x14ac:dyDescent="0.2">
      <c r="A15" s="13"/>
      <c r="B15" s="377" t="s">
        <v>82</v>
      </c>
      <c r="C15" s="245">
        <v>1020</v>
      </c>
      <c r="D15" s="245">
        <v>802</v>
      </c>
      <c r="E15" s="245">
        <v>870</v>
      </c>
      <c r="F15" s="245">
        <v>1136</v>
      </c>
      <c r="G15" s="245">
        <v>1807</v>
      </c>
      <c r="H15" s="245">
        <v>1653</v>
      </c>
      <c r="I15" s="13"/>
      <c r="J15" s="346" t="s">
        <v>8</v>
      </c>
      <c r="K15" s="347">
        <f t="shared" ref="K15:P15" si="12">+K8-K13</f>
        <v>2986.1000000000004</v>
      </c>
      <c r="L15" s="347">
        <f t="shared" si="12"/>
        <v>3033.16</v>
      </c>
      <c r="M15" s="347">
        <f t="shared" si="12"/>
        <v>3580</v>
      </c>
      <c r="N15" s="347">
        <f t="shared" si="12"/>
        <v>4838.18</v>
      </c>
      <c r="O15" s="347">
        <f t="shared" si="12"/>
        <v>6563.7000000000007</v>
      </c>
      <c r="P15" s="348">
        <f t="shared" si="12"/>
        <v>5721.08</v>
      </c>
      <c r="Q15" s="13"/>
    </row>
    <row r="16" spans="1:17" ht="15" x14ac:dyDescent="0.2">
      <c r="A16" s="13"/>
      <c r="B16" s="376" t="s">
        <v>172</v>
      </c>
      <c r="C16" s="383">
        <v>989</v>
      </c>
      <c r="D16" s="383">
        <v>1245</v>
      </c>
      <c r="E16" s="383">
        <v>1270</v>
      </c>
      <c r="F16" s="383">
        <v>1251</v>
      </c>
      <c r="G16" s="383">
        <v>1409</v>
      </c>
      <c r="H16" s="383">
        <v>1589</v>
      </c>
      <c r="I16" s="13"/>
      <c r="J16" s="247" t="s">
        <v>87</v>
      </c>
      <c r="K16" s="238">
        <f t="shared" ref="K16:P16" si="13">C22</f>
        <v>1407</v>
      </c>
      <c r="L16" s="238">
        <f t="shared" si="13"/>
        <v>1529</v>
      </c>
      <c r="M16" s="238">
        <f t="shared" si="13"/>
        <v>1856</v>
      </c>
      <c r="N16" s="238">
        <f t="shared" si="13"/>
        <v>2228</v>
      </c>
      <c r="O16" s="238">
        <f t="shared" si="13"/>
        <v>2696</v>
      </c>
      <c r="P16" s="266">
        <f t="shared" si="13"/>
        <v>3201</v>
      </c>
      <c r="Q16" s="13"/>
    </row>
    <row r="17" spans="1:17" x14ac:dyDescent="0.2">
      <c r="B17" s="375" t="s">
        <v>83</v>
      </c>
      <c r="C17" s="252">
        <v>431</v>
      </c>
      <c r="D17" s="252">
        <v>473</v>
      </c>
      <c r="E17" s="252">
        <v>616</v>
      </c>
      <c r="F17" s="252">
        <v>1185</v>
      </c>
      <c r="G17" s="252">
        <v>1171</v>
      </c>
      <c r="H17" s="252">
        <v>1114</v>
      </c>
      <c r="J17" s="254" t="s">
        <v>238</v>
      </c>
      <c r="K17" s="238">
        <f>+K41</f>
        <v>0</v>
      </c>
      <c r="L17" s="238">
        <f t="shared" ref="L17:P17" si="14">+L41</f>
        <v>0</v>
      </c>
      <c r="M17" s="238">
        <f t="shared" si="14"/>
        <v>0</v>
      </c>
      <c r="N17" s="238">
        <f t="shared" si="14"/>
        <v>0</v>
      </c>
      <c r="O17" s="238">
        <f t="shared" si="14"/>
        <v>0</v>
      </c>
      <c r="P17" s="266">
        <f t="shared" si="14"/>
        <v>0</v>
      </c>
      <c r="Q17" s="3"/>
    </row>
    <row r="18" spans="1:17" ht="15" x14ac:dyDescent="0.2">
      <c r="A18" s="15"/>
      <c r="B18" s="376" t="s">
        <v>84</v>
      </c>
      <c r="C18" s="385"/>
      <c r="D18" s="385"/>
      <c r="E18" s="385"/>
      <c r="F18" s="385"/>
      <c r="G18" s="385"/>
      <c r="H18" s="385"/>
      <c r="I18" s="15"/>
      <c r="J18" s="247" t="s">
        <v>95</v>
      </c>
      <c r="K18" s="238">
        <f t="shared" ref="K18:P18" si="15">C34</f>
        <v>3581</v>
      </c>
      <c r="L18" s="238">
        <f t="shared" si="15"/>
        <v>3555</v>
      </c>
      <c r="M18" s="238">
        <f t="shared" si="15"/>
        <v>3619</v>
      </c>
      <c r="N18" s="238">
        <f t="shared" si="15"/>
        <v>3583</v>
      </c>
      <c r="O18" s="238">
        <f t="shared" si="15"/>
        <v>4039</v>
      </c>
      <c r="P18" s="266">
        <f t="shared" si="15"/>
        <v>4026</v>
      </c>
      <c r="Q18" s="15"/>
    </row>
    <row r="19" spans="1:17" ht="15" x14ac:dyDescent="0.2">
      <c r="A19" s="4"/>
      <c r="B19" s="377" t="s">
        <v>85</v>
      </c>
      <c r="C19" s="245">
        <v>431</v>
      </c>
      <c r="D19" s="245">
        <v>473</v>
      </c>
      <c r="E19" s="245">
        <v>616</v>
      </c>
      <c r="F19" s="245">
        <v>1185</v>
      </c>
      <c r="G19" s="245">
        <v>1171</v>
      </c>
      <c r="H19" s="245">
        <v>1114</v>
      </c>
      <c r="I19" s="4"/>
      <c r="J19" s="254" t="s">
        <v>169</v>
      </c>
      <c r="K19" s="238">
        <f t="shared" ref="K19:P19" si="16">C38-C58</f>
        <v>-1120</v>
      </c>
      <c r="L19" s="238">
        <f t="shared" si="16"/>
        <v>-1162</v>
      </c>
      <c r="M19" s="238">
        <f t="shared" si="16"/>
        <v>-1172</v>
      </c>
      <c r="N19" s="238">
        <f t="shared" si="16"/>
        <v>-1132</v>
      </c>
      <c r="O19" s="238">
        <f t="shared" si="16"/>
        <v>-611</v>
      </c>
      <c r="P19" s="266">
        <f t="shared" si="16"/>
        <v>-824</v>
      </c>
      <c r="Q19" s="4"/>
    </row>
    <row r="20" spans="1:17" ht="15" x14ac:dyDescent="0.2">
      <c r="A20" s="4"/>
      <c r="B20" s="382" t="s">
        <v>86</v>
      </c>
      <c r="C20" s="383">
        <v>10604</v>
      </c>
      <c r="D20" s="383">
        <v>10206</v>
      </c>
      <c r="E20" s="383">
        <v>13369</v>
      </c>
      <c r="F20" s="383">
        <v>16107</v>
      </c>
      <c r="G20" s="383">
        <v>15925</v>
      </c>
      <c r="H20" s="383">
        <v>19147</v>
      </c>
      <c r="I20" s="4"/>
      <c r="J20" s="343" t="s">
        <v>36</v>
      </c>
      <c r="K20" s="344">
        <f>SUM(K15:K19)</f>
        <v>6854.1</v>
      </c>
      <c r="L20" s="344">
        <f t="shared" ref="L20:P20" si="17">SUM(L15:L19)</f>
        <v>6955.16</v>
      </c>
      <c r="M20" s="344">
        <f t="shared" si="17"/>
        <v>7883</v>
      </c>
      <c r="N20" s="344">
        <f t="shared" si="17"/>
        <v>9517.18</v>
      </c>
      <c r="O20" s="344">
        <f t="shared" si="17"/>
        <v>12687.7</v>
      </c>
      <c r="P20" s="345">
        <f t="shared" si="17"/>
        <v>12124.08</v>
      </c>
      <c r="Q20" s="4"/>
    </row>
    <row r="21" spans="1:17" x14ac:dyDescent="0.2">
      <c r="A21" s="13"/>
      <c r="B21" s="396"/>
      <c r="C21" s="397"/>
      <c r="D21" s="398"/>
      <c r="E21" s="399"/>
      <c r="F21" s="399"/>
      <c r="G21" s="399"/>
      <c r="H21" s="399"/>
      <c r="I21" s="13"/>
      <c r="J21" s="64" t="s">
        <v>41</v>
      </c>
      <c r="K21" s="65"/>
      <c r="L21" s="65">
        <f>L20-K20</f>
        <v>101.05999999999949</v>
      </c>
      <c r="M21" s="65">
        <f t="shared" ref="M21:O21" si="18">M20-L20</f>
        <v>927.84000000000015</v>
      </c>
      <c r="N21" s="65">
        <f t="shared" si="18"/>
        <v>1634.1800000000003</v>
      </c>
      <c r="O21" s="65">
        <f t="shared" si="18"/>
        <v>3170.5200000000004</v>
      </c>
      <c r="P21" s="66">
        <f>P20-O20</f>
        <v>-563.6200000000008</v>
      </c>
      <c r="Q21" s="13"/>
    </row>
    <row r="22" spans="1:17" ht="17" x14ac:dyDescent="0.35">
      <c r="A22" s="7"/>
      <c r="B22" s="247" t="s">
        <v>87</v>
      </c>
      <c r="C22" s="252">
        <v>1407</v>
      </c>
      <c r="D22" s="252">
        <v>1529</v>
      </c>
      <c r="E22" s="252">
        <v>1856</v>
      </c>
      <c r="F22" s="252">
        <v>2228</v>
      </c>
      <c r="G22" s="252">
        <v>2696</v>
      </c>
      <c r="H22" s="252">
        <v>3201</v>
      </c>
      <c r="I22" s="7"/>
      <c r="J22" s="254"/>
      <c r="K22" s="238"/>
      <c r="L22" s="238"/>
      <c r="M22" s="238"/>
      <c r="N22" s="238"/>
      <c r="O22" s="238"/>
      <c r="P22" s="266"/>
      <c r="Q22" s="7"/>
    </row>
    <row r="23" spans="1:17" x14ac:dyDescent="0.2">
      <c r="A23" s="5"/>
      <c r="B23" s="248" t="s">
        <v>88</v>
      </c>
      <c r="C23" s="270">
        <v>3812</v>
      </c>
      <c r="D23" s="270">
        <v>4071</v>
      </c>
      <c r="E23" s="270">
        <v>4632</v>
      </c>
      <c r="F23" s="270">
        <v>5274</v>
      </c>
      <c r="G23" s="270">
        <v>6018</v>
      </c>
      <c r="H23" s="270">
        <v>6852</v>
      </c>
      <c r="I23" s="5"/>
      <c r="J23" s="254" t="s">
        <v>14</v>
      </c>
      <c r="K23" s="233">
        <f t="shared" ref="K23:P23" si="19">C5-K4</f>
        <v>3695.9</v>
      </c>
      <c r="L23" s="233">
        <f t="shared" si="19"/>
        <v>3325.84</v>
      </c>
      <c r="M23" s="233">
        <f t="shared" si="19"/>
        <v>5394</v>
      </c>
      <c r="N23" s="233">
        <f t="shared" si="19"/>
        <v>4997.82</v>
      </c>
      <c r="O23" s="233">
        <f t="shared" si="19"/>
        <v>2067.3000000000002</v>
      </c>
      <c r="P23" s="359">
        <f t="shared" si="19"/>
        <v>6339.92</v>
      </c>
      <c r="Q23" s="5"/>
    </row>
    <row r="24" spans="1:17" ht="15" x14ac:dyDescent="0.2">
      <c r="A24" s="5"/>
      <c r="B24" s="249" t="s">
        <v>89</v>
      </c>
      <c r="C24" s="245">
        <v>1448</v>
      </c>
      <c r="D24" s="245">
        <v>1590</v>
      </c>
      <c r="E24" s="245">
        <v>1655</v>
      </c>
      <c r="F24" s="245">
        <v>1780</v>
      </c>
      <c r="G24" s="245">
        <v>2027</v>
      </c>
      <c r="H24" s="245">
        <v>2194</v>
      </c>
      <c r="I24" s="5"/>
      <c r="J24" s="247" t="s">
        <v>93</v>
      </c>
      <c r="K24" s="238">
        <f t="shared" ref="K24:P24" si="20">C32</f>
        <v>1568</v>
      </c>
      <c r="L24" s="238">
        <f t="shared" si="20"/>
        <v>1703</v>
      </c>
      <c r="M24" s="238">
        <f t="shared" si="20"/>
        <v>1538</v>
      </c>
      <c r="N24" s="238">
        <f t="shared" si="20"/>
        <v>2055</v>
      </c>
      <c r="O24" s="238">
        <f t="shared" si="20"/>
        <v>1980</v>
      </c>
      <c r="P24" s="266">
        <f t="shared" si="20"/>
        <v>2281</v>
      </c>
      <c r="Q24" s="5"/>
    </row>
    <row r="25" spans="1:17" ht="15" x14ac:dyDescent="0.2">
      <c r="A25" s="4"/>
      <c r="B25" s="380" t="s">
        <v>180</v>
      </c>
      <c r="C25" s="383">
        <v>245</v>
      </c>
      <c r="D25" s="383">
        <v>254</v>
      </c>
      <c r="E25" s="383">
        <v>256</v>
      </c>
      <c r="F25" s="383">
        <v>334</v>
      </c>
      <c r="G25" s="383">
        <v>387</v>
      </c>
      <c r="H25" s="383">
        <v>393</v>
      </c>
      <c r="I25" s="4"/>
      <c r="J25" s="34" t="s">
        <v>35</v>
      </c>
      <c r="K25" s="36">
        <f t="shared" ref="K25:P25" si="21">SUM(K23:K24)</f>
        <v>5263.9</v>
      </c>
      <c r="L25" s="36">
        <f t="shared" si="21"/>
        <v>5028.84</v>
      </c>
      <c r="M25" s="36">
        <f t="shared" si="21"/>
        <v>6932</v>
      </c>
      <c r="N25" s="36">
        <f t="shared" si="21"/>
        <v>7052.82</v>
      </c>
      <c r="O25" s="36">
        <f t="shared" si="21"/>
        <v>4047.3</v>
      </c>
      <c r="P25" s="37">
        <f t="shared" si="21"/>
        <v>8620.92</v>
      </c>
      <c r="Q25" s="4"/>
    </row>
    <row r="26" spans="1:17" ht="16" thickBot="1" x14ac:dyDescent="0.25">
      <c r="A26" s="4"/>
      <c r="B26" s="250" t="s">
        <v>90</v>
      </c>
      <c r="C26" s="245">
        <v>1282</v>
      </c>
      <c r="D26" s="245">
        <v>1505</v>
      </c>
      <c r="E26" s="245">
        <v>1586</v>
      </c>
      <c r="F26" s="245">
        <v>1820</v>
      </c>
      <c r="G26" s="245">
        <v>2083</v>
      </c>
      <c r="H26" s="245">
        <v>2353</v>
      </c>
      <c r="I26" s="4"/>
      <c r="J26" s="27" t="s">
        <v>33</v>
      </c>
      <c r="K26" s="33">
        <f t="shared" ref="K26:P26" si="22">K20+K25</f>
        <v>12118</v>
      </c>
      <c r="L26" s="33">
        <f t="shared" si="22"/>
        <v>11984</v>
      </c>
      <c r="M26" s="33">
        <f t="shared" si="22"/>
        <v>14815</v>
      </c>
      <c r="N26" s="33">
        <f t="shared" si="22"/>
        <v>16570</v>
      </c>
      <c r="O26" s="33">
        <f t="shared" si="22"/>
        <v>16735</v>
      </c>
      <c r="P26" s="35">
        <f t="shared" si="22"/>
        <v>20745</v>
      </c>
      <c r="Q26" s="4" t="s">
        <v>309</v>
      </c>
    </row>
    <row r="27" spans="1:17" ht="16" thickBot="1" x14ac:dyDescent="0.25">
      <c r="A27" s="4"/>
      <c r="B27" s="380" t="s">
        <v>181</v>
      </c>
      <c r="C27" s="383">
        <v>203</v>
      </c>
      <c r="D27" s="383">
        <v>120</v>
      </c>
      <c r="E27" s="383">
        <v>237</v>
      </c>
      <c r="F27" s="383">
        <v>326</v>
      </c>
      <c r="G27" s="383">
        <v>389</v>
      </c>
      <c r="H27" s="383">
        <v>672</v>
      </c>
      <c r="I27" s="4"/>
      <c r="J27" s="3"/>
      <c r="K27" s="5"/>
      <c r="L27" s="5"/>
      <c r="M27" s="5"/>
      <c r="N27" s="5"/>
      <c r="O27" s="5"/>
      <c r="P27" s="5"/>
      <c r="Q27" s="4"/>
    </row>
    <row r="28" spans="1:17" ht="15" x14ac:dyDescent="0.2">
      <c r="A28" s="4"/>
      <c r="B28" s="381" t="s">
        <v>182</v>
      </c>
      <c r="C28" s="245">
        <v>0</v>
      </c>
      <c r="D28" s="245">
        <v>0</v>
      </c>
      <c r="E28" s="245">
        <v>0</v>
      </c>
      <c r="F28" s="245">
        <v>0</v>
      </c>
      <c r="G28" s="245">
        <v>0</v>
      </c>
      <c r="H28" s="245">
        <v>108</v>
      </c>
      <c r="I28" s="4"/>
      <c r="J28" s="265" t="s">
        <v>103</v>
      </c>
      <c r="K28" s="268">
        <f t="shared" ref="K28:P28" si="23">C43</f>
        <v>0</v>
      </c>
      <c r="L28" s="268">
        <f t="shared" si="23"/>
        <v>600</v>
      </c>
      <c r="M28" s="268">
        <f t="shared" si="23"/>
        <v>64</v>
      </c>
      <c r="N28" s="268">
        <f t="shared" si="23"/>
        <v>73</v>
      </c>
      <c r="O28" s="268">
        <f t="shared" si="23"/>
        <v>85</v>
      </c>
      <c r="P28" s="269">
        <f t="shared" si="23"/>
        <v>286</v>
      </c>
      <c r="Q28" s="4"/>
    </row>
    <row r="29" spans="1:17" ht="15" x14ac:dyDescent="0.2">
      <c r="A29" s="4"/>
      <c r="B29" s="249" t="s">
        <v>91</v>
      </c>
      <c r="C29" s="383">
        <v>634</v>
      </c>
      <c r="D29" s="383">
        <v>602</v>
      </c>
      <c r="E29" s="383">
        <v>646</v>
      </c>
      <c r="F29" s="383">
        <v>720</v>
      </c>
      <c r="G29" s="383">
        <v>743</v>
      </c>
      <c r="H29" s="383">
        <v>762</v>
      </c>
      <c r="I29" s="4"/>
      <c r="J29" s="251" t="s">
        <v>109</v>
      </c>
      <c r="K29" s="239">
        <f t="shared" ref="K29:P29" si="24">C52</f>
        <v>5309</v>
      </c>
      <c r="L29" s="239">
        <f t="shared" si="24"/>
        <v>4713</v>
      </c>
      <c r="M29" s="239">
        <f t="shared" si="24"/>
        <v>5643</v>
      </c>
      <c r="N29" s="239">
        <f t="shared" si="24"/>
        <v>5680</v>
      </c>
      <c r="O29" s="239">
        <f t="shared" si="24"/>
        <v>5744</v>
      </c>
      <c r="P29" s="267">
        <f t="shared" si="24"/>
        <v>5713</v>
      </c>
      <c r="Q29" s="4"/>
    </row>
    <row r="30" spans="1:17" ht="15" x14ac:dyDescent="0.2">
      <c r="A30" s="13"/>
      <c r="B30" s="381" t="s">
        <v>183</v>
      </c>
      <c r="C30" s="305"/>
      <c r="D30" s="305"/>
      <c r="E30" s="245">
        <v>252</v>
      </c>
      <c r="F30" s="245">
        <v>294</v>
      </c>
      <c r="G30" s="245">
        <v>389</v>
      </c>
      <c r="H30" s="245">
        <v>370</v>
      </c>
      <c r="I30" s="13"/>
      <c r="J30" s="251" t="s">
        <v>110</v>
      </c>
      <c r="K30" s="239">
        <f t="shared" ref="K30:P30" si="25">C55</f>
        <v>177</v>
      </c>
      <c r="L30" s="239">
        <f t="shared" si="25"/>
        <v>212</v>
      </c>
      <c r="M30" s="239">
        <f t="shared" si="25"/>
        <v>241</v>
      </c>
      <c r="N30" s="239">
        <f t="shared" si="25"/>
        <v>193</v>
      </c>
      <c r="O30" s="239">
        <f t="shared" si="25"/>
        <v>107</v>
      </c>
      <c r="P30" s="267">
        <f t="shared" si="25"/>
        <v>126</v>
      </c>
      <c r="Q30" s="13"/>
    </row>
    <row r="31" spans="1:17" ht="15" x14ac:dyDescent="0.2">
      <c r="A31" s="13"/>
      <c r="B31" s="246" t="s">
        <v>92</v>
      </c>
      <c r="C31" s="383">
        <v>2405</v>
      </c>
      <c r="D31" s="383">
        <v>2542</v>
      </c>
      <c r="E31" s="383">
        <v>2776</v>
      </c>
      <c r="F31" s="383">
        <v>3046</v>
      </c>
      <c r="G31" s="383">
        <v>3322</v>
      </c>
      <c r="H31" s="383">
        <v>3651</v>
      </c>
      <c r="I31" s="13"/>
      <c r="J31" s="254" t="s">
        <v>239</v>
      </c>
      <c r="K31" s="239">
        <f>K41</f>
        <v>0</v>
      </c>
      <c r="L31" s="239">
        <f t="shared" ref="L31:P31" si="26">L41</f>
        <v>0</v>
      </c>
      <c r="M31" s="239">
        <f t="shared" si="26"/>
        <v>0</v>
      </c>
      <c r="N31" s="239">
        <f t="shared" si="26"/>
        <v>0</v>
      </c>
      <c r="O31" s="239">
        <f t="shared" si="26"/>
        <v>0</v>
      </c>
      <c r="P31" s="267">
        <f t="shared" si="26"/>
        <v>0</v>
      </c>
      <c r="Q31" s="13"/>
    </row>
    <row r="32" spans="1:17" x14ac:dyDescent="0.2">
      <c r="B32" s="375" t="s">
        <v>184</v>
      </c>
      <c r="C32" s="252">
        <v>1568</v>
      </c>
      <c r="D32" s="252">
        <v>1703</v>
      </c>
      <c r="E32" s="252">
        <v>1538</v>
      </c>
      <c r="F32" s="252">
        <v>2055</v>
      </c>
      <c r="G32" s="252">
        <v>1980</v>
      </c>
      <c r="H32" s="252">
        <v>2281</v>
      </c>
      <c r="J32" s="34" t="s">
        <v>11</v>
      </c>
      <c r="K32" s="36">
        <f>SUM(K28:K31)</f>
        <v>5486</v>
      </c>
      <c r="L32" s="36">
        <f t="shared" ref="L32:P32" si="27">SUM(L28:L31)</f>
        <v>5525</v>
      </c>
      <c r="M32" s="36">
        <f t="shared" si="27"/>
        <v>5948</v>
      </c>
      <c r="N32" s="36">
        <f t="shared" si="27"/>
        <v>5946</v>
      </c>
      <c r="O32" s="36">
        <f t="shared" si="27"/>
        <v>5936</v>
      </c>
      <c r="P32" s="37">
        <f t="shared" si="27"/>
        <v>6125</v>
      </c>
      <c r="Q32" s="3"/>
    </row>
    <row r="33" spans="1:18" ht="15" x14ac:dyDescent="0.2">
      <c r="A33" s="5"/>
      <c r="B33" s="246" t="s">
        <v>94</v>
      </c>
      <c r="C33" s="383">
        <v>1568</v>
      </c>
      <c r="D33" s="383">
        <v>1703</v>
      </c>
      <c r="E33" s="383">
        <v>1538</v>
      </c>
      <c r="F33" s="383">
        <v>2055</v>
      </c>
      <c r="G33" s="383">
        <v>1980</v>
      </c>
      <c r="H33" s="383">
        <v>2281</v>
      </c>
      <c r="I33" s="5"/>
      <c r="J33" s="254" t="s">
        <v>72</v>
      </c>
      <c r="K33" s="239">
        <f t="shared" ref="K33:P33" si="28">C70</f>
        <v>6845</v>
      </c>
      <c r="L33" s="239">
        <f t="shared" si="28"/>
        <v>8214</v>
      </c>
      <c r="M33" s="239">
        <f t="shared" si="28"/>
        <v>10578</v>
      </c>
      <c r="N33" s="239">
        <f t="shared" si="28"/>
        <v>12247</v>
      </c>
      <c r="O33" s="239">
        <f t="shared" si="28"/>
        <v>12194</v>
      </c>
      <c r="P33" s="267">
        <f t="shared" si="28"/>
        <v>16349</v>
      </c>
      <c r="Q33" s="5"/>
    </row>
    <row r="34" spans="1:18" ht="15" x14ac:dyDescent="0.2">
      <c r="B34" s="247" t="s">
        <v>95</v>
      </c>
      <c r="C34" s="252">
        <v>3581</v>
      </c>
      <c r="D34" s="252">
        <v>3555</v>
      </c>
      <c r="E34" s="252">
        <v>3619</v>
      </c>
      <c r="F34" s="252">
        <v>3583</v>
      </c>
      <c r="G34" s="252">
        <v>4039</v>
      </c>
      <c r="H34" s="252">
        <v>4026</v>
      </c>
      <c r="J34" s="251" t="s">
        <v>168</v>
      </c>
      <c r="K34" s="239">
        <f t="shared" ref="K34:P34" si="29">C56-C37</f>
        <v>-213</v>
      </c>
      <c r="L34" s="239">
        <f t="shared" si="29"/>
        <v>-1755</v>
      </c>
      <c r="M34" s="239">
        <f t="shared" si="29"/>
        <v>-1711</v>
      </c>
      <c r="N34" s="239">
        <f t="shared" si="29"/>
        <v>-1623</v>
      </c>
      <c r="O34" s="239">
        <f t="shared" si="29"/>
        <v>-1395</v>
      </c>
      <c r="P34" s="267">
        <f t="shared" si="29"/>
        <v>-1729</v>
      </c>
      <c r="Q34" s="3"/>
    </row>
    <row r="35" spans="1:18" ht="15" x14ac:dyDescent="0.2">
      <c r="B35" s="246" t="s">
        <v>96</v>
      </c>
      <c r="C35" s="383">
        <v>3368</v>
      </c>
      <c r="D35" s="383">
        <v>3399</v>
      </c>
      <c r="E35" s="383">
        <v>3466</v>
      </c>
      <c r="F35" s="383">
        <v>3479</v>
      </c>
      <c r="G35" s="383">
        <v>3700</v>
      </c>
      <c r="H35" s="383">
        <v>3732</v>
      </c>
      <c r="J35" s="254"/>
      <c r="K35" s="239"/>
      <c r="L35" s="239"/>
      <c r="M35" s="239"/>
      <c r="N35" s="239"/>
      <c r="O35" s="239"/>
      <c r="P35" s="267"/>
      <c r="Q35" s="3"/>
    </row>
    <row r="36" spans="1:18" ht="15" x14ac:dyDescent="0.2">
      <c r="B36" s="244" t="s">
        <v>97</v>
      </c>
      <c r="C36" s="245">
        <v>213</v>
      </c>
      <c r="D36" s="245">
        <v>156</v>
      </c>
      <c r="E36" s="245">
        <v>153</v>
      </c>
      <c r="F36" s="245">
        <v>104</v>
      </c>
      <c r="G36" s="245">
        <v>339</v>
      </c>
      <c r="H36" s="245">
        <v>294</v>
      </c>
      <c r="J36" s="34" t="s">
        <v>12</v>
      </c>
      <c r="K36" s="36">
        <f t="shared" ref="K36:P36" si="30">SUM(K33:K35)</f>
        <v>6632</v>
      </c>
      <c r="L36" s="36">
        <f t="shared" si="30"/>
        <v>6459</v>
      </c>
      <c r="M36" s="36">
        <f t="shared" si="30"/>
        <v>8867</v>
      </c>
      <c r="N36" s="36">
        <f t="shared" si="30"/>
        <v>10624</v>
      </c>
      <c r="O36" s="36">
        <f t="shared" si="30"/>
        <v>10799</v>
      </c>
      <c r="P36" s="37">
        <f t="shared" si="30"/>
        <v>14620</v>
      </c>
      <c r="Q36" s="3"/>
    </row>
    <row r="37" spans="1:18" ht="16" thickBot="1" x14ac:dyDescent="0.25">
      <c r="B37" s="253" t="s">
        <v>98</v>
      </c>
      <c r="C37" s="383">
        <v>225</v>
      </c>
      <c r="D37" s="383">
        <v>1766</v>
      </c>
      <c r="E37" s="383">
        <v>1711</v>
      </c>
      <c r="F37" s="383">
        <v>1623</v>
      </c>
      <c r="G37" s="383">
        <v>1395</v>
      </c>
      <c r="H37" s="383">
        <v>1729</v>
      </c>
      <c r="J37" s="38" t="s">
        <v>34</v>
      </c>
      <c r="K37" s="28">
        <f t="shared" ref="K37:P37" si="31">+K32+K36</f>
        <v>12118</v>
      </c>
      <c r="L37" s="28">
        <f t="shared" si="31"/>
        <v>11984</v>
      </c>
      <c r="M37" s="28">
        <f t="shared" si="31"/>
        <v>14815</v>
      </c>
      <c r="N37" s="28">
        <f t="shared" si="31"/>
        <v>16570</v>
      </c>
      <c r="O37" s="28">
        <f t="shared" si="31"/>
        <v>16735</v>
      </c>
      <c r="P37" s="29">
        <f t="shared" si="31"/>
        <v>20745</v>
      </c>
      <c r="Q37" s="3" t="s">
        <v>308</v>
      </c>
    </row>
    <row r="38" spans="1:18" x14ac:dyDescent="0.2">
      <c r="B38" s="247" t="s">
        <v>99</v>
      </c>
      <c r="C38" s="252">
        <v>260</v>
      </c>
      <c r="D38" s="252">
        <v>276</v>
      </c>
      <c r="E38" s="252">
        <v>260</v>
      </c>
      <c r="F38" s="252">
        <v>229</v>
      </c>
      <c r="G38" s="252">
        <v>691</v>
      </c>
      <c r="H38" s="252">
        <v>345</v>
      </c>
      <c r="J38" s="3"/>
      <c r="K38" s="5"/>
      <c r="L38" s="5"/>
      <c r="M38" s="5"/>
      <c r="N38" s="5"/>
      <c r="O38" s="5"/>
      <c r="P38" s="5"/>
      <c r="Q38" s="5"/>
    </row>
    <row r="39" spans="1:18" ht="15" x14ac:dyDescent="0.2">
      <c r="B39" s="244" t="s">
        <v>100</v>
      </c>
      <c r="C39" s="383">
        <v>260</v>
      </c>
      <c r="D39" s="383">
        <v>276</v>
      </c>
      <c r="E39" s="383">
        <v>260</v>
      </c>
      <c r="F39" s="383">
        <v>229</v>
      </c>
      <c r="G39" s="383">
        <v>691</v>
      </c>
      <c r="H39" s="383">
        <v>345</v>
      </c>
      <c r="J39" s="16" t="s">
        <v>13</v>
      </c>
      <c r="K39" s="349">
        <f>Income!C$4</f>
        <v>16705</v>
      </c>
      <c r="L39" s="349">
        <f>Income!D$4</f>
        <v>14608</v>
      </c>
      <c r="M39" s="349">
        <f>Income!E$4</f>
        <v>17200</v>
      </c>
      <c r="N39" s="349">
        <f>Income!F$4</f>
        <v>23059</v>
      </c>
      <c r="O39" s="349">
        <f>Income!G$4</f>
        <v>25685</v>
      </c>
      <c r="P39" s="350">
        <f>Income!H$4</f>
        <v>26454</v>
      </c>
      <c r="Q39" s="3"/>
      <c r="R39" s="5"/>
    </row>
    <row r="40" spans="1:18" ht="16" thickBot="1" x14ac:dyDescent="0.25">
      <c r="B40" s="257" t="s">
        <v>101</v>
      </c>
      <c r="C40" s="245">
        <v>17645</v>
      </c>
      <c r="D40" s="245">
        <v>19035</v>
      </c>
      <c r="E40" s="245">
        <v>22353</v>
      </c>
      <c r="F40" s="245">
        <v>25825</v>
      </c>
      <c r="G40" s="245">
        <v>26726</v>
      </c>
      <c r="H40" s="245">
        <v>30729</v>
      </c>
      <c r="J40" s="39" t="s">
        <v>27</v>
      </c>
      <c r="K40" s="138"/>
      <c r="L40" s="138"/>
      <c r="M40" s="138"/>
      <c r="N40" s="138"/>
      <c r="O40" s="138"/>
      <c r="P40" s="334"/>
      <c r="Q40" s="3"/>
    </row>
    <row r="41" spans="1:18" x14ac:dyDescent="0.2">
      <c r="B41" s="396"/>
      <c r="C41" s="400"/>
      <c r="D41" s="401"/>
      <c r="E41" s="401"/>
      <c r="F41" s="401"/>
      <c r="G41" s="401"/>
      <c r="H41" s="401"/>
      <c r="J41" s="74"/>
      <c r="K41" s="357"/>
      <c r="L41" s="357"/>
      <c r="M41" s="357"/>
      <c r="N41" s="357"/>
      <c r="O41" s="357"/>
      <c r="P41" s="358"/>
      <c r="Q41" s="3"/>
    </row>
    <row r="42" spans="1:18" x14ac:dyDescent="0.2">
      <c r="B42" s="260" t="s">
        <v>102</v>
      </c>
      <c r="C42" s="261"/>
      <c r="D42" s="258"/>
      <c r="E42" s="258"/>
      <c r="F42" s="258"/>
      <c r="G42" s="258"/>
      <c r="H42" s="258"/>
      <c r="J42" s="174"/>
      <c r="K42" s="19"/>
      <c r="L42" s="19"/>
      <c r="M42" s="19"/>
      <c r="N42" s="20"/>
      <c r="O42" s="20"/>
      <c r="P42" s="40"/>
      <c r="Q42" s="3"/>
    </row>
    <row r="43" spans="1:18" ht="15" x14ac:dyDescent="0.2">
      <c r="B43" s="376" t="s">
        <v>103</v>
      </c>
      <c r="C43" s="383">
        <v>0</v>
      </c>
      <c r="D43" s="383">
        <v>600</v>
      </c>
      <c r="E43" s="383">
        <v>64</v>
      </c>
      <c r="F43" s="383">
        <v>73</v>
      </c>
      <c r="G43" s="383">
        <v>85</v>
      </c>
      <c r="H43" s="383">
        <v>286</v>
      </c>
      <c r="J43" s="174">
        <v>2013</v>
      </c>
      <c r="K43" s="139"/>
      <c r="L43" s="139"/>
      <c r="M43" s="139"/>
      <c r="N43" s="140"/>
      <c r="O43" s="140"/>
      <c r="P43" s="141"/>
      <c r="Q43" s="3"/>
    </row>
    <row r="44" spans="1:18" ht="15" x14ac:dyDescent="0.2">
      <c r="B44" s="377" t="s">
        <v>104</v>
      </c>
      <c r="C44" s="245">
        <v>996</v>
      </c>
      <c r="D44" s="245">
        <v>958</v>
      </c>
      <c r="E44" s="245">
        <v>1124</v>
      </c>
      <c r="F44" s="245">
        <v>1472</v>
      </c>
      <c r="G44" s="245">
        <v>1755</v>
      </c>
      <c r="H44" s="245">
        <v>1478</v>
      </c>
      <c r="J44" s="174">
        <f t="shared" ref="J44:J56" si="32">J43+1</f>
        <v>2014</v>
      </c>
      <c r="K44" s="139"/>
      <c r="L44" s="139"/>
      <c r="M44" s="139"/>
      <c r="N44" s="140"/>
      <c r="O44" s="140"/>
      <c r="P44" s="141"/>
      <c r="Q44" s="3"/>
    </row>
    <row r="45" spans="1:18" ht="15" x14ac:dyDescent="0.2">
      <c r="B45" s="376" t="s">
        <v>105</v>
      </c>
      <c r="C45" s="383">
        <v>136</v>
      </c>
      <c r="D45" s="383">
        <v>160</v>
      </c>
      <c r="E45" s="383">
        <v>222</v>
      </c>
      <c r="F45" s="383">
        <v>734</v>
      </c>
      <c r="G45" s="383">
        <v>319</v>
      </c>
      <c r="H45" s="383">
        <v>282</v>
      </c>
      <c r="J45" s="174">
        <f t="shared" si="32"/>
        <v>2015</v>
      </c>
      <c r="K45" s="139"/>
      <c r="L45" s="139"/>
      <c r="M45" s="139"/>
      <c r="N45" s="140"/>
      <c r="O45" s="140"/>
      <c r="P45" s="141"/>
      <c r="Q45" s="3"/>
    </row>
    <row r="46" spans="1:18" x14ac:dyDescent="0.2">
      <c r="B46" s="247" t="s">
        <v>32</v>
      </c>
      <c r="C46" s="252">
        <v>2790</v>
      </c>
      <c r="D46" s="252">
        <v>2729</v>
      </c>
      <c r="E46" s="252">
        <v>3049</v>
      </c>
      <c r="F46" s="252">
        <v>4065</v>
      </c>
      <c r="G46" s="252">
        <v>5220</v>
      </c>
      <c r="H46" s="252">
        <v>5326</v>
      </c>
      <c r="J46" s="174">
        <f t="shared" si="32"/>
        <v>2016</v>
      </c>
      <c r="K46" s="139"/>
      <c r="L46" s="139"/>
      <c r="M46" s="139"/>
      <c r="N46" s="139"/>
      <c r="O46" s="140"/>
      <c r="P46" s="141"/>
      <c r="Q46" s="3"/>
    </row>
    <row r="47" spans="1:18" ht="15" x14ac:dyDescent="0.2">
      <c r="B47" s="380" t="s">
        <v>185</v>
      </c>
      <c r="C47" s="383">
        <v>193</v>
      </c>
      <c r="D47" s="383">
        <v>192</v>
      </c>
      <c r="E47" s="383">
        <v>201</v>
      </c>
      <c r="F47" s="383">
        <v>214</v>
      </c>
      <c r="G47" s="383">
        <v>220</v>
      </c>
      <c r="H47" s="383">
        <v>267</v>
      </c>
      <c r="J47" s="174">
        <f t="shared" si="32"/>
        <v>2017</v>
      </c>
      <c r="K47" s="139"/>
      <c r="L47" s="139"/>
      <c r="M47" s="139"/>
      <c r="N47" s="139"/>
      <c r="O47" s="139"/>
      <c r="P47" s="142"/>
      <c r="Q47" s="3"/>
    </row>
    <row r="48" spans="1:18" ht="15" x14ac:dyDescent="0.2">
      <c r="B48" s="246" t="s">
        <v>106</v>
      </c>
      <c r="C48" s="245">
        <v>639</v>
      </c>
      <c r="D48" s="245">
        <v>559</v>
      </c>
      <c r="E48" s="245">
        <v>800</v>
      </c>
      <c r="F48" s="245">
        <v>924</v>
      </c>
      <c r="G48" s="245">
        <v>905</v>
      </c>
      <c r="H48" s="245">
        <v>1024</v>
      </c>
      <c r="J48" s="174">
        <f t="shared" si="32"/>
        <v>2018</v>
      </c>
      <c r="K48" s="353"/>
      <c r="L48" s="139"/>
      <c r="M48" s="139"/>
      <c r="N48" s="139"/>
      <c r="O48" s="139"/>
      <c r="P48" s="142"/>
      <c r="Q48" s="3"/>
    </row>
    <row r="49" spans="2:17" ht="15" x14ac:dyDescent="0.2">
      <c r="B49" s="244" t="s">
        <v>107</v>
      </c>
      <c r="C49" s="383">
        <v>1958</v>
      </c>
      <c r="D49" s="383">
        <v>1978</v>
      </c>
      <c r="E49" s="383">
        <v>2048</v>
      </c>
      <c r="F49" s="383">
        <v>2927</v>
      </c>
      <c r="G49" s="383">
        <v>4095</v>
      </c>
      <c r="H49" s="383">
        <v>4035</v>
      </c>
      <c r="J49" s="174">
        <f t="shared" si="32"/>
        <v>2019</v>
      </c>
      <c r="K49" s="353"/>
      <c r="L49" s="353"/>
      <c r="M49" s="139"/>
      <c r="N49" s="139"/>
      <c r="O49" s="139"/>
      <c r="P49" s="142"/>
      <c r="Q49" s="3"/>
    </row>
    <row r="50" spans="2:17" ht="15" x14ac:dyDescent="0.2">
      <c r="B50" s="253" t="s">
        <v>108</v>
      </c>
      <c r="C50" s="245">
        <v>3922</v>
      </c>
      <c r="D50" s="245">
        <v>4447</v>
      </c>
      <c r="E50" s="245">
        <v>4459</v>
      </c>
      <c r="F50" s="245">
        <v>6344</v>
      </c>
      <c r="G50" s="245">
        <v>7379</v>
      </c>
      <c r="H50" s="245">
        <v>7372</v>
      </c>
      <c r="J50" s="174">
        <f t="shared" si="32"/>
        <v>2020</v>
      </c>
      <c r="K50" s="353"/>
      <c r="L50" s="353"/>
      <c r="M50" s="353"/>
      <c r="N50" s="139"/>
      <c r="O50" s="139"/>
      <c r="P50" s="142"/>
      <c r="Q50" s="3"/>
    </row>
    <row r="51" spans="2:17" x14ac:dyDescent="0.2">
      <c r="B51" s="378" t="s">
        <v>188</v>
      </c>
      <c r="C51" s="255"/>
      <c r="J51" s="174">
        <f t="shared" si="32"/>
        <v>2021</v>
      </c>
      <c r="K51" s="353"/>
      <c r="L51" s="353"/>
      <c r="M51" s="353"/>
      <c r="N51" s="353"/>
      <c r="O51" s="139"/>
      <c r="P51" s="142"/>
      <c r="Q51" s="3"/>
    </row>
    <row r="52" spans="2:17" ht="15" x14ac:dyDescent="0.2">
      <c r="B52" s="253" t="s">
        <v>109</v>
      </c>
      <c r="C52" s="252">
        <v>5309</v>
      </c>
      <c r="D52" s="252">
        <v>4713</v>
      </c>
      <c r="E52" s="252">
        <v>5643</v>
      </c>
      <c r="F52" s="252">
        <v>5680</v>
      </c>
      <c r="G52" s="252">
        <v>5744</v>
      </c>
      <c r="H52" s="252">
        <v>5713</v>
      </c>
      <c r="J52" s="174">
        <f t="shared" si="32"/>
        <v>2022</v>
      </c>
      <c r="K52" s="139"/>
      <c r="L52" s="353"/>
      <c r="M52" s="353"/>
      <c r="N52" s="353"/>
      <c r="O52" s="353"/>
      <c r="P52" s="142"/>
      <c r="Q52" s="3"/>
    </row>
    <row r="53" spans="2:17" ht="15" x14ac:dyDescent="0.2">
      <c r="B53" s="380" t="s">
        <v>186</v>
      </c>
      <c r="C53" s="383">
        <v>5309</v>
      </c>
      <c r="D53" s="383">
        <v>4713</v>
      </c>
      <c r="E53" s="383">
        <v>5448</v>
      </c>
      <c r="F53" s="383">
        <v>5452</v>
      </c>
      <c r="G53" s="383">
        <v>5457</v>
      </c>
      <c r="H53" s="383">
        <v>5461</v>
      </c>
      <c r="J53" s="174">
        <f t="shared" si="32"/>
        <v>2023</v>
      </c>
      <c r="K53" s="139"/>
      <c r="L53" s="139"/>
      <c r="M53" s="353"/>
      <c r="N53" s="353"/>
      <c r="O53" s="353"/>
      <c r="P53" s="352"/>
      <c r="Q53" s="3"/>
    </row>
    <row r="54" spans="2:17" ht="15" x14ac:dyDescent="0.2">
      <c r="B54" s="381" t="s">
        <v>187</v>
      </c>
      <c r="C54" s="245">
        <v>0</v>
      </c>
      <c r="D54" s="245">
        <v>0</v>
      </c>
      <c r="E54" s="245">
        <v>195</v>
      </c>
      <c r="F54" s="245">
        <v>228</v>
      </c>
      <c r="G54" s="245">
        <v>287</v>
      </c>
      <c r="H54" s="245">
        <v>252</v>
      </c>
      <c r="J54" s="174">
        <f t="shared" si="32"/>
        <v>2024</v>
      </c>
      <c r="K54" s="335"/>
      <c r="L54" s="140"/>
      <c r="M54" s="139"/>
      <c r="N54" s="353"/>
      <c r="O54" s="353"/>
      <c r="P54" s="352"/>
      <c r="Q54" s="3"/>
    </row>
    <row r="55" spans="2:17" ht="15" x14ac:dyDescent="0.2">
      <c r="B55" s="251" t="s">
        <v>110</v>
      </c>
      <c r="C55" s="383">
        <v>177</v>
      </c>
      <c r="D55" s="383">
        <v>212</v>
      </c>
      <c r="E55" s="383">
        <v>241</v>
      </c>
      <c r="F55" s="383">
        <v>193</v>
      </c>
      <c r="G55" s="383">
        <v>107</v>
      </c>
      <c r="H55" s="383">
        <v>126</v>
      </c>
      <c r="J55" s="174">
        <f t="shared" si="32"/>
        <v>2025</v>
      </c>
      <c r="K55" s="140"/>
      <c r="L55" s="139"/>
      <c r="M55" s="139"/>
      <c r="N55" s="139"/>
      <c r="O55" s="353"/>
      <c r="P55" s="352"/>
      <c r="Q55" s="3"/>
    </row>
    <row r="56" spans="2:17" ht="15" x14ac:dyDescent="0.2">
      <c r="B56" s="253" t="s">
        <v>111</v>
      </c>
      <c r="C56" s="245">
        <v>12</v>
      </c>
      <c r="D56" s="245">
        <v>11</v>
      </c>
      <c r="E56" s="305"/>
      <c r="F56" s="305"/>
      <c r="G56" s="305"/>
      <c r="H56" s="305"/>
      <c r="J56" s="174">
        <f t="shared" si="32"/>
        <v>2026</v>
      </c>
      <c r="K56" s="140"/>
      <c r="L56" s="140"/>
      <c r="M56" s="140"/>
      <c r="N56" s="140"/>
      <c r="O56" s="139"/>
      <c r="P56" s="352"/>
      <c r="Q56" s="3"/>
    </row>
    <row r="57" spans="2:17" s="3" customFormat="1" x14ac:dyDescent="0.2">
      <c r="B57" s="247" t="s">
        <v>112</v>
      </c>
      <c r="C57" s="270">
        <v>1380</v>
      </c>
      <c r="D57" s="270">
        <v>1438</v>
      </c>
      <c r="E57" s="270">
        <v>1432</v>
      </c>
      <c r="F57" s="270">
        <v>1361</v>
      </c>
      <c r="G57" s="270">
        <v>1302</v>
      </c>
      <c r="H57" s="270">
        <v>1169</v>
      </c>
      <c r="J57" s="351">
        <v>2027</v>
      </c>
      <c r="K57" s="143"/>
      <c r="L57" s="143"/>
      <c r="M57" s="143"/>
      <c r="N57" s="143"/>
      <c r="O57" s="144"/>
      <c r="P57" s="171"/>
    </row>
    <row r="58" spans="2:17" s="3" customFormat="1" ht="15" x14ac:dyDescent="0.2">
      <c r="B58" s="246" t="s">
        <v>113</v>
      </c>
      <c r="C58" s="245">
        <v>1380</v>
      </c>
      <c r="D58" s="245">
        <v>1438</v>
      </c>
      <c r="E58" s="245">
        <v>1432</v>
      </c>
      <c r="F58" s="245">
        <v>1361</v>
      </c>
      <c r="G58" s="245">
        <v>1302</v>
      </c>
      <c r="H58" s="245">
        <v>1169</v>
      </c>
      <c r="J58" s="453"/>
      <c r="K58" s="453"/>
      <c r="L58" s="453"/>
      <c r="M58" s="453"/>
      <c r="N58" s="453"/>
      <c r="O58" s="453"/>
      <c r="P58" s="453"/>
    </row>
    <row r="59" spans="2:17" s="3" customFormat="1" ht="15" x14ac:dyDescent="0.2">
      <c r="B59" s="262" t="s">
        <v>114</v>
      </c>
      <c r="C59" s="383">
        <v>10800</v>
      </c>
      <c r="D59" s="383">
        <v>10821</v>
      </c>
      <c r="E59" s="383">
        <v>11775</v>
      </c>
      <c r="F59" s="383">
        <v>13578</v>
      </c>
      <c r="G59" s="383">
        <v>14532</v>
      </c>
      <c r="H59" s="383">
        <v>14380</v>
      </c>
      <c r="J59" s="453"/>
      <c r="K59" s="453"/>
      <c r="L59" s="453"/>
      <c r="M59" s="453"/>
      <c r="N59" s="453"/>
      <c r="O59" s="453"/>
      <c r="P59" s="453"/>
    </row>
    <row r="60" spans="2:17" s="3" customFormat="1" x14ac:dyDescent="0.2">
      <c r="B60" s="402" t="s">
        <v>189</v>
      </c>
      <c r="C60" s="403"/>
      <c r="D60" s="404"/>
      <c r="E60" s="404"/>
      <c r="F60" s="404"/>
      <c r="G60" s="404"/>
      <c r="H60" s="404"/>
      <c r="J60" s="453"/>
      <c r="K60" s="453"/>
      <c r="L60" s="453"/>
      <c r="M60" s="453"/>
      <c r="N60" s="453"/>
      <c r="O60" s="453"/>
      <c r="P60" s="453"/>
    </row>
    <row r="61" spans="2:17" s="3" customFormat="1" x14ac:dyDescent="0.2">
      <c r="B61" s="247" t="s">
        <v>115</v>
      </c>
      <c r="C61" s="270">
        <v>6845</v>
      </c>
      <c r="D61" s="270">
        <v>8214</v>
      </c>
      <c r="E61" s="270">
        <v>10578</v>
      </c>
      <c r="F61" s="270">
        <v>12247</v>
      </c>
      <c r="G61" s="270">
        <v>12194</v>
      </c>
      <c r="H61" s="270">
        <v>16349</v>
      </c>
      <c r="J61" s="453"/>
      <c r="K61" s="453"/>
      <c r="L61" s="453"/>
      <c r="M61" s="453"/>
      <c r="N61" s="453"/>
      <c r="O61" s="453"/>
      <c r="P61" s="453"/>
    </row>
    <row r="62" spans="2:17" s="3" customFormat="1" ht="15" x14ac:dyDescent="0.2">
      <c r="B62" s="246" t="s">
        <v>116</v>
      </c>
      <c r="C62" s="245">
        <v>10</v>
      </c>
      <c r="D62" s="245">
        <v>9</v>
      </c>
      <c r="E62" s="245">
        <v>9</v>
      </c>
      <c r="F62" s="245">
        <v>9</v>
      </c>
      <c r="G62" s="245">
        <v>8</v>
      </c>
      <c r="H62" s="245">
        <v>8</v>
      </c>
    </row>
    <row r="63" spans="2:17" s="3" customFormat="1" ht="15" x14ac:dyDescent="0.2">
      <c r="B63" s="380" t="s">
        <v>190</v>
      </c>
      <c r="C63" s="383">
        <v>7274</v>
      </c>
      <c r="D63" s="383">
        <v>7595</v>
      </c>
      <c r="E63" s="383">
        <v>7904</v>
      </c>
      <c r="F63" s="383">
        <v>8247</v>
      </c>
      <c r="G63" s="383">
        <v>8593</v>
      </c>
      <c r="H63" s="383">
        <v>9131</v>
      </c>
    </row>
    <row r="64" spans="2:17" s="3" customFormat="1" ht="15" x14ac:dyDescent="0.2">
      <c r="B64" s="244" t="s">
        <v>117</v>
      </c>
      <c r="C64" s="245">
        <v>20880</v>
      </c>
      <c r="D64" s="245">
        <v>24386</v>
      </c>
      <c r="E64" s="245">
        <v>27209</v>
      </c>
      <c r="F64" s="245">
        <v>32246</v>
      </c>
      <c r="G64" s="245">
        <v>37892</v>
      </c>
      <c r="H64" s="245">
        <v>43726</v>
      </c>
    </row>
    <row r="65" spans="2:8" s="3" customFormat="1" ht="15" x14ac:dyDescent="0.2">
      <c r="B65" s="246" t="s">
        <v>118</v>
      </c>
      <c r="C65" s="383">
        <v>14</v>
      </c>
      <c r="D65" s="383">
        <v>13</v>
      </c>
      <c r="E65" s="383">
        <v>13</v>
      </c>
      <c r="F65" s="383">
        <v>13</v>
      </c>
      <c r="G65" s="383">
        <v>13</v>
      </c>
      <c r="H65" s="383">
        <v>13</v>
      </c>
    </row>
    <row r="66" spans="2:8" s="3" customFormat="1" ht="15" x14ac:dyDescent="0.2">
      <c r="B66" s="244" t="s">
        <v>119</v>
      </c>
      <c r="C66" s="245">
        <v>7</v>
      </c>
      <c r="D66" s="245">
        <v>11</v>
      </c>
      <c r="E66" s="384">
        <v>-133</v>
      </c>
      <c r="F66" s="384">
        <v>-1</v>
      </c>
      <c r="G66" s="384">
        <v>-75</v>
      </c>
      <c r="H66" s="384">
        <v>-50</v>
      </c>
    </row>
    <row r="67" spans="2:8" s="3" customFormat="1" ht="15" x14ac:dyDescent="0.2">
      <c r="B67" s="246" t="s">
        <v>120</v>
      </c>
      <c r="C67" s="387">
        <v>-146</v>
      </c>
      <c r="D67" s="387">
        <v>-204</v>
      </c>
      <c r="E67" s="387">
        <v>-179</v>
      </c>
      <c r="F67" s="387">
        <v>-272</v>
      </c>
      <c r="G67" s="387">
        <v>-140</v>
      </c>
      <c r="H67" s="387">
        <v>-180</v>
      </c>
    </row>
    <row r="68" spans="2:8" s="3" customFormat="1" ht="15" x14ac:dyDescent="0.2">
      <c r="B68" s="381" t="s">
        <v>191</v>
      </c>
      <c r="C68" s="384">
        <v>-21194</v>
      </c>
      <c r="D68" s="384">
        <v>-23596</v>
      </c>
      <c r="E68" s="384">
        <v>-24245</v>
      </c>
      <c r="F68" s="384">
        <v>-27995</v>
      </c>
      <c r="G68" s="384">
        <v>-34097</v>
      </c>
      <c r="H68" s="384">
        <v>-36299</v>
      </c>
    </row>
    <row r="69" spans="2:8" s="3" customFormat="1" ht="15" x14ac:dyDescent="0.2">
      <c r="B69" s="376" t="s">
        <v>121</v>
      </c>
      <c r="C69" s="383">
        <v>6845</v>
      </c>
      <c r="D69" s="383">
        <v>8214</v>
      </c>
      <c r="E69" s="383">
        <v>10578</v>
      </c>
      <c r="F69" s="383">
        <v>12247</v>
      </c>
      <c r="G69" s="383">
        <v>12194</v>
      </c>
      <c r="H69" s="383">
        <v>16349</v>
      </c>
    </row>
    <row r="70" spans="2:8" s="3" customFormat="1" ht="15" x14ac:dyDescent="0.2">
      <c r="B70" s="377" t="s">
        <v>72</v>
      </c>
      <c r="C70" s="245">
        <v>6845</v>
      </c>
      <c r="D70" s="245">
        <v>8214</v>
      </c>
      <c r="E70" s="245">
        <v>10578</v>
      </c>
      <c r="F70" s="245">
        <v>12247</v>
      </c>
      <c r="G70" s="245">
        <v>12194</v>
      </c>
      <c r="H70" s="245">
        <v>16349</v>
      </c>
    </row>
    <row r="71" spans="2:8" s="3" customFormat="1" ht="15" x14ac:dyDescent="0.2">
      <c r="B71" s="382" t="s">
        <v>122</v>
      </c>
      <c r="C71" s="383">
        <v>17645</v>
      </c>
      <c r="D71" s="383">
        <v>19035</v>
      </c>
      <c r="E71" s="383">
        <v>22353</v>
      </c>
      <c r="F71" s="383">
        <v>25825</v>
      </c>
      <c r="G71" s="383">
        <v>26726</v>
      </c>
      <c r="H71" s="383">
        <v>30729</v>
      </c>
    </row>
    <row r="72" spans="2:8" s="3" customFormat="1" x14ac:dyDescent="0.2">
      <c r="B72" s="388" t="s">
        <v>192</v>
      </c>
      <c r="C72" s="388"/>
      <c r="D72" s="388"/>
      <c r="E72" s="388"/>
      <c r="F72" s="388"/>
      <c r="G72" s="388"/>
      <c r="H72" s="388"/>
    </row>
    <row r="73" spans="2:8" s="3" customFormat="1" ht="15" x14ac:dyDescent="0.2">
      <c r="B73" s="382" t="s">
        <v>193</v>
      </c>
      <c r="C73" s="389">
        <v>7.0785900000000002</v>
      </c>
      <c r="D73" s="389">
        <v>8.9672499999999999</v>
      </c>
      <c r="E73" s="389">
        <v>11.5733</v>
      </c>
      <c r="F73" s="389">
        <v>13.72982</v>
      </c>
      <c r="G73" s="389">
        <v>14.44787</v>
      </c>
      <c r="H73" s="389">
        <v>19.626650000000001</v>
      </c>
    </row>
    <row r="74" spans="2:8" s="3" customFormat="1" ht="15" x14ac:dyDescent="0.2">
      <c r="B74" s="390" t="s">
        <v>194</v>
      </c>
      <c r="C74" s="391">
        <v>3.3753880000000001</v>
      </c>
      <c r="D74" s="391">
        <v>5.0862449999999999</v>
      </c>
      <c r="E74" s="391">
        <v>7.6137860000000002</v>
      </c>
      <c r="F74" s="391">
        <v>9.7130039999999997</v>
      </c>
      <c r="G74" s="391">
        <v>9.6623219999999996</v>
      </c>
      <c r="H74" s="391">
        <v>14.793517</v>
      </c>
    </row>
    <row r="75" spans="2:8" s="3" customFormat="1" ht="15" x14ac:dyDescent="0.2">
      <c r="B75" s="392" t="s">
        <v>195</v>
      </c>
      <c r="C75"/>
      <c r="D75"/>
      <c r="E75"/>
      <c r="F75"/>
      <c r="G75"/>
      <c r="H75"/>
    </row>
    <row r="76" spans="2:8" s="3" customFormat="1" x14ac:dyDescent="0.2">
      <c r="B76" s="1"/>
      <c r="C76" s="234"/>
      <c r="D76" s="234"/>
      <c r="E76" s="234"/>
      <c r="F76" s="234"/>
      <c r="G76" s="234"/>
      <c r="H76" s="234"/>
    </row>
    <row r="77" spans="2:8" s="3" customFormat="1" ht="17" x14ac:dyDescent="0.35">
      <c r="B77" s="1"/>
      <c r="C77" s="235"/>
      <c r="D77" s="236"/>
      <c r="E77" s="236"/>
      <c r="F77" s="236"/>
      <c r="G77" s="237"/>
      <c r="H77" s="237"/>
    </row>
    <row r="78" spans="2:8" s="3" customFormat="1" x14ac:dyDescent="0.2">
      <c r="B78" s="1"/>
      <c r="C78" s="238"/>
      <c r="D78" s="238"/>
      <c r="E78" s="238"/>
      <c r="F78" s="238"/>
      <c r="G78" s="239"/>
      <c r="H78" s="239"/>
    </row>
    <row r="79" spans="2:8" s="3" customFormat="1" x14ac:dyDescent="0.2">
      <c r="B79" s="1"/>
      <c r="C79" s="238"/>
      <c r="D79" s="238"/>
      <c r="E79" s="238"/>
      <c r="F79" s="238"/>
      <c r="G79" s="239"/>
      <c r="H79" s="239"/>
    </row>
    <row r="80" spans="2:8" s="3" customFormat="1" x14ac:dyDescent="0.2">
      <c r="B80" s="1"/>
      <c r="C80" s="234"/>
      <c r="D80" s="234"/>
      <c r="E80" s="234"/>
      <c r="F80" s="234"/>
      <c r="G80" s="234"/>
      <c r="H80" s="234"/>
    </row>
    <row r="81" spans="2:8" s="3" customFormat="1" x14ac:dyDescent="0.2">
      <c r="B81" s="1"/>
      <c r="C81" s="234"/>
      <c r="D81" s="234"/>
      <c r="E81" s="234"/>
      <c r="F81" s="234"/>
      <c r="G81" s="234"/>
      <c r="H81" s="234"/>
    </row>
    <row r="82" spans="2:8" s="3" customFormat="1" x14ac:dyDescent="0.2">
      <c r="B82" s="1"/>
      <c r="C82" s="238"/>
      <c r="D82" s="238"/>
      <c r="E82" s="238"/>
      <c r="F82" s="238"/>
      <c r="G82" s="238"/>
      <c r="H82" s="238"/>
    </row>
    <row r="83" spans="2:8" s="3" customFormat="1" ht="15" x14ac:dyDescent="0.2">
      <c r="B83" s="1"/>
      <c r="C83" s="240"/>
      <c r="D83" s="241"/>
      <c r="E83" s="242"/>
      <c r="F83" s="241"/>
      <c r="G83" s="241"/>
      <c r="H83" s="241"/>
    </row>
    <row r="84" spans="2:8" s="3" customFormat="1" x14ac:dyDescent="0.2">
      <c r="B84" s="1"/>
      <c r="C84" s="234"/>
      <c r="D84" s="234"/>
      <c r="E84" s="234"/>
      <c r="F84" s="234"/>
      <c r="G84" s="234"/>
      <c r="H84" s="234"/>
    </row>
    <row r="85" spans="2:8" s="3" customFormat="1" x14ac:dyDescent="0.2">
      <c r="B85" s="1"/>
      <c r="C85" s="234"/>
      <c r="D85" s="234"/>
      <c r="E85" s="234"/>
      <c r="F85" s="234"/>
      <c r="G85" s="234"/>
      <c r="H85" s="234"/>
    </row>
    <row r="86" spans="2:8" s="3" customFormat="1" x14ac:dyDescent="0.2">
      <c r="B86" s="1"/>
      <c r="C86" s="238"/>
      <c r="D86" s="238"/>
      <c r="E86" s="238"/>
      <c r="F86" s="238"/>
      <c r="G86" s="238"/>
      <c r="H86" s="238"/>
    </row>
    <row r="87" spans="2:8" s="3" customFormat="1" x14ac:dyDescent="0.2">
      <c r="B87" s="1"/>
      <c r="C87" s="1"/>
      <c r="D87" s="1"/>
      <c r="E87" s="1"/>
      <c r="F87" s="1"/>
      <c r="G87" s="1"/>
      <c r="H87" s="1"/>
    </row>
    <row r="88" spans="2:8" s="3" customFormat="1" x14ac:dyDescent="0.2">
      <c r="B88" s="1"/>
      <c r="C88" s="1"/>
      <c r="D88" s="1"/>
      <c r="E88" s="1"/>
      <c r="F88" s="1"/>
      <c r="G88" s="1"/>
      <c r="H88" s="1"/>
    </row>
    <row r="89" spans="2:8" s="3" customFormat="1" x14ac:dyDescent="0.2"/>
    <row r="90" spans="2:8" s="3" customFormat="1" x14ac:dyDescent="0.2"/>
    <row r="91" spans="2:8" s="3" customFormat="1" x14ac:dyDescent="0.2"/>
    <row r="92" spans="2:8" s="3" customFormat="1" x14ac:dyDescent="0.2"/>
    <row r="93" spans="2:8" s="3" customFormat="1" x14ac:dyDescent="0.2"/>
    <row r="94" spans="2:8" s="3" customFormat="1" x14ac:dyDescent="0.2"/>
    <row r="95" spans="2:8" s="3" customFormat="1" x14ac:dyDescent="0.2"/>
    <row r="96" spans="2:8" s="3" customFormat="1" x14ac:dyDescent="0.2"/>
    <row r="97" s="3" customFormat="1" x14ac:dyDescent="0.2"/>
    <row r="98" s="3" customFormat="1" x14ac:dyDescent="0.2"/>
    <row r="99" s="3" customFormat="1" x14ac:dyDescent="0.2"/>
    <row r="100" s="3" customFormat="1" x14ac:dyDescent="0.2"/>
    <row r="101" s="3" customFormat="1" x14ac:dyDescent="0.2"/>
    <row r="102" s="3" customFormat="1" x14ac:dyDescent="0.2"/>
    <row r="103" s="3" customFormat="1" x14ac:dyDescent="0.2"/>
    <row r="104" s="3" customFormat="1" x14ac:dyDescent="0.2"/>
    <row r="105" s="3" customFormat="1" x14ac:dyDescent="0.2"/>
    <row r="106" s="3" customFormat="1" x14ac:dyDescent="0.2"/>
    <row r="107" s="3" customFormat="1" x14ac:dyDescent="0.2"/>
    <row r="108" s="3" customFormat="1" x14ac:dyDescent="0.2"/>
    <row r="109" s="3" customFormat="1" x14ac:dyDescent="0.2"/>
    <row r="110" s="3" customFormat="1" x14ac:dyDescent="0.2"/>
    <row r="111" s="3" customFormat="1" x14ac:dyDescent="0.2"/>
    <row r="112" s="3" customFormat="1" x14ac:dyDescent="0.2"/>
    <row r="113" s="3" customFormat="1" x14ac:dyDescent="0.2"/>
    <row r="114" s="3" customFormat="1" x14ac:dyDescent="0.2"/>
    <row r="115" s="3" customFormat="1" x14ac:dyDescent="0.2"/>
    <row r="116" s="3" customFormat="1" x14ac:dyDescent="0.2"/>
    <row r="117" s="3" customFormat="1" x14ac:dyDescent="0.2"/>
    <row r="118" s="3" customFormat="1" x14ac:dyDescent="0.2"/>
    <row r="119" s="3" customFormat="1" x14ac:dyDescent="0.2"/>
    <row r="120" s="3" customFormat="1" x14ac:dyDescent="0.2"/>
    <row r="121" s="3" customFormat="1" x14ac:dyDescent="0.2"/>
    <row r="122" s="3" customFormat="1" x14ac:dyDescent="0.2"/>
    <row r="123" s="3" customFormat="1" x14ac:dyDescent="0.2"/>
    <row r="124" s="3" customFormat="1" x14ac:dyDescent="0.2"/>
    <row r="125" s="3" customFormat="1" x14ac:dyDescent="0.2"/>
    <row r="126" s="3" customFormat="1" x14ac:dyDescent="0.2"/>
    <row r="127" s="3" customFormat="1" x14ac:dyDescent="0.2"/>
    <row r="128" s="3" customFormat="1" x14ac:dyDescent="0.2"/>
    <row r="129" spans="2:16" s="3" customFormat="1" x14ac:dyDescent="0.2"/>
    <row r="130" spans="2:16" s="3" customFormat="1" x14ac:dyDescent="0.2"/>
    <row r="131" spans="2:16" s="3" customFormat="1" x14ac:dyDescent="0.2"/>
    <row r="132" spans="2:16" s="3" customFormat="1" x14ac:dyDescent="0.2"/>
    <row r="133" spans="2:16" s="3" customFormat="1" x14ac:dyDescent="0.2"/>
    <row r="134" spans="2:16" s="3" customFormat="1" x14ac:dyDescent="0.2">
      <c r="K134" s="1"/>
      <c r="L134" s="1"/>
      <c r="M134" s="1"/>
      <c r="N134" s="1"/>
      <c r="O134" s="1"/>
      <c r="P134" s="1"/>
    </row>
    <row r="135" spans="2:16" s="3" customFormat="1" x14ac:dyDescent="0.2">
      <c r="K135" s="1"/>
      <c r="L135" s="1"/>
      <c r="M135" s="1"/>
      <c r="N135" s="1"/>
      <c r="O135" s="1"/>
      <c r="P135" s="1"/>
    </row>
    <row r="136" spans="2:16" x14ac:dyDescent="0.2">
      <c r="B136" s="3"/>
      <c r="C136" s="3"/>
      <c r="D136" s="3"/>
      <c r="E136" s="3"/>
      <c r="F136" s="3"/>
      <c r="G136" s="3"/>
      <c r="H136" s="3"/>
      <c r="J136" s="3"/>
    </row>
    <row r="137" spans="2:16" x14ac:dyDescent="0.2">
      <c r="B137" s="3"/>
      <c r="C137" s="3"/>
      <c r="D137" s="3"/>
      <c r="E137" s="3"/>
      <c r="F137" s="3"/>
      <c r="G137" s="3"/>
      <c r="H137" s="3"/>
      <c r="J137" s="3"/>
    </row>
    <row r="138" spans="2:16" x14ac:dyDescent="0.2">
      <c r="B138" s="3"/>
      <c r="C138" s="3"/>
      <c r="D138" s="3"/>
      <c r="E138" s="3"/>
      <c r="F138" s="3"/>
      <c r="G138" s="3"/>
      <c r="H138" s="3"/>
      <c r="J138" s="3"/>
    </row>
    <row r="139" spans="2:16" x14ac:dyDescent="0.2">
      <c r="B139" s="3"/>
      <c r="C139" s="3"/>
      <c r="D139" s="3"/>
      <c r="E139" s="3"/>
      <c r="F139" s="3"/>
      <c r="G139" s="3"/>
      <c r="H139" s="3"/>
      <c r="J139" s="3"/>
    </row>
    <row r="140" spans="2:16" x14ac:dyDescent="0.2">
      <c r="B140" s="3"/>
      <c r="C140" s="3"/>
      <c r="D140" s="3"/>
      <c r="E140" s="3"/>
      <c r="F140" s="3"/>
      <c r="G140" s="3"/>
      <c r="H140" s="3"/>
    </row>
    <row r="141" spans="2:16" x14ac:dyDescent="0.2">
      <c r="B141" s="3"/>
      <c r="C141" s="3"/>
      <c r="D141" s="3"/>
      <c r="E141" s="3"/>
      <c r="F141" s="3"/>
      <c r="G141" s="3"/>
      <c r="H141" s="3"/>
    </row>
    <row r="142" spans="2:16" x14ac:dyDescent="0.2">
      <c r="B142" s="3"/>
      <c r="C142" s="3"/>
      <c r="D142" s="3"/>
      <c r="E142" s="3"/>
      <c r="F142" s="3"/>
      <c r="G142" s="3"/>
      <c r="H142" s="3"/>
    </row>
  </sheetData>
  <mergeCells count="1">
    <mergeCell ref="J58:P61"/>
  </mergeCells>
  <phoneticPr fontId="2" type="noConversion"/>
  <pageMargins left="0.25" right="0.25" top="0.25" bottom="0.25" header="0.3" footer="0.3"/>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138"/>
  <sheetViews>
    <sheetView zoomScaleNormal="100" workbookViewId="0">
      <selection activeCell="K24" sqref="K24"/>
    </sheetView>
  </sheetViews>
  <sheetFormatPr baseColWidth="10" defaultColWidth="9.1640625" defaultRowHeight="14" x14ac:dyDescent="0.2"/>
  <cols>
    <col min="1" max="1" width="5.6640625" style="3" customWidth="1"/>
    <col min="2" max="2" width="38.6640625" style="2" customWidth="1"/>
    <col min="3" max="8" width="9.6640625" style="2" customWidth="1"/>
    <col min="9" max="10" width="0" style="9" hidden="1" customWidth="1"/>
    <col min="11" max="11" width="43.6640625" style="9" bestFit="1" customWidth="1"/>
    <col min="12" max="12" width="9.5" style="9" bestFit="1" customWidth="1"/>
    <col min="13" max="14" width="9.1640625" style="9"/>
    <col min="15" max="16384" width="9.1640625" style="2"/>
  </cols>
  <sheetData>
    <row r="1" spans="1:17" ht="16" x14ac:dyDescent="0.2">
      <c r="B1" s="30" t="s">
        <v>218</v>
      </c>
      <c r="C1" s="45" t="s">
        <v>179</v>
      </c>
      <c r="D1" s="45"/>
      <c r="E1" s="46"/>
      <c r="F1" s="46"/>
      <c r="G1" s="45"/>
      <c r="H1" s="47"/>
    </row>
    <row r="2" spans="1:17" x14ac:dyDescent="0.2">
      <c r="A2" s="18"/>
      <c r="B2" s="48" t="s">
        <v>1</v>
      </c>
      <c r="C2" s="414" t="s">
        <v>178</v>
      </c>
      <c r="D2" s="414" t="s">
        <v>177</v>
      </c>
      <c r="E2" s="414" t="s">
        <v>176</v>
      </c>
      <c r="F2" s="414" t="s">
        <v>175</v>
      </c>
      <c r="G2" s="414" t="s">
        <v>174</v>
      </c>
      <c r="H2" s="414" t="s">
        <v>173</v>
      </c>
    </row>
    <row r="3" spans="1:17" ht="15" thickBot="1" x14ac:dyDescent="0.25">
      <c r="A3" s="15"/>
      <c r="B3" s="44"/>
      <c r="C3" s="414"/>
      <c r="D3" s="414"/>
      <c r="E3" s="414"/>
      <c r="F3" s="414"/>
      <c r="G3" s="414"/>
      <c r="H3" s="414"/>
    </row>
    <row r="4" spans="1:17" ht="16" thickBot="1" x14ac:dyDescent="0.25">
      <c r="A4" s="4"/>
      <c r="B4" s="265" t="s">
        <v>123</v>
      </c>
      <c r="C4" s="252">
        <v>16705</v>
      </c>
      <c r="D4" s="252">
        <v>14608</v>
      </c>
      <c r="E4" s="252">
        <v>17200</v>
      </c>
      <c r="F4" s="252">
        <v>23059</v>
      </c>
      <c r="G4" s="252">
        <v>25685</v>
      </c>
      <c r="H4" s="252">
        <v>26454</v>
      </c>
      <c r="K4" s="272"/>
      <c r="L4" s="273"/>
      <c r="M4" s="273"/>
      <c r="N4" s="273"/>
      <c r="O4" s="273"/>
      <c r="P4" s="274"/>
      <c r="Q4" s="275"/>
    </row>
    <row r="5" spans="1:17" x14ac:dyDescent="0.2">
      <c r="A5" s="4"/>
      <c r="B5" s="243" t="s">
        <v>124</v>
      </c>
      <c r="C5" s="270">
        <v>9230</v>
      </c>
      <c r="D5" s="270">
        <v>8258</v>
      </c>
      <c r="E5" s="270">
        <v>9532</v>
      </c>
      <c r="F5" s="270">
        <v>12169</v>
      </c>
      <c r="G5" s="270">
        <v>13793</v>
      </c>
      <c r="H5" s="270">
        <v>14133</v>
      </c>
      <c r="K5" s="51"/>
      <c r="L5" s="52" t="str">
        <f t="shared" ref="L5:Q7" si="0">C2</f>
        <v>OCT '18</v>
      </c>
      <c r="M5" s="52" t="str">
        <f t="shared" si="0"/>
        <v>OCT '19</v>
      </c>
      <c r="N5" s="52" t="str">
        <f t="shared" si="0"/>
        <v>OCT '20</v>
      </c>
      <c r="O5" s="52" t="str">
        <f t="shared" si="0"/>
        <v>OCT '21</v>
      </c>
      <c r="P5" s="52" t="str">
        <f t="shared" si="0"/>
        <v>OCT '22</v>
      </c>
      <c r="Q5" s="53" t="str">
        <f t="shared" si="0"/>
        <v>OCT '23</v>
      </c>
    </row>
    <row r="6" spans="1:17" ht="16" thickBot="1" x14ac:dyDescent="0.25">
      <c r="A6" s="4"/>
      <c r="B6" s="244" t="s">
        <v>125</v>
      </c>
      <c r="C6" s="245">
        <v>8773</v>
      </c>
      <c r="D6" s="245">
        <v>7895</v>
      </c>
      <c r="E6" s="245">
        <v>9156</v>
      </c>
      <c r="F6" s="245">
        <v>11775</v>
      </c>
      <c r="G6" s="245">
        <v>13349</v>
      </c>
      <c r="H6" s="245">
        <v>13618</v>
      </c>
      <c r="K6" s="56" t="s">
        <v>24</v>
      </c>
      <c r="L6" s="177">
        <f>C3</f>
        <v>0</v>
      </c>
      <c r="M6" s="177">
        <f t="shared" si="0"/>
        <v>0</v>
      </c>
      <c r="N6" s="177">
        <f t="shared" si="0"/>
        <v>0</v>
      </c>
      <c r="O6" s="177">
        <f t="shared" si="0"/>
        <v>0</v>
      </c>
      <c r="P6" s="177">
        <f t="shared" si="0"/>
        <v>0</v>
      </c>
      <c r="Q6" s="178">
        <f t="shared" si="0"/>
        <v>0</v>
      </c>
    </row>
    <row r="7" spans="1:17" ht="15" x14ac:dyDescent="0.2">
      <c r="A7" s="5"/>
      <c r="B7" s="248" t="s">
        <v>126</v>
      </c>
      <c r="C7" s="270">
        <v>457</v>
      </c>
      <c r="D7" s="270">
        <v>363</v>
      </c>
      <c r="E7" s="270">
        <v>376</v>
      </c>
      <c r="F7" s="270">
        <v>394</v>
      </c>
      <c r="G7" s="270">
        <v>444</v>
      </c>
      <c r="H7" s="270">
        <v>515</v>
      </c>
      <c r="K7" s="251" t="s">
        <v>123</v>
      </c>
      <c r="L7" s="277">
        <f>C4</f>
        <v>16705</v>
      </c>
      <c r="M7" s="277">
        <f t="shared" si="0"/>
        <v>14608</v>
      </c>
      <c r="N7" s="277">
        <f t="shared" si="0"/>
        <v>17200</v>
      </c>
      <c r="O7" s="277">
        <f t="shared" si="0"/>
        <v>23059</v>
      </c>
      <c r="P7" s="277">
        <f t="shared" si="0"/>
        <v>25685</v>
      </c>
      <c r="Q7" s="278">
        <f t="shared" si="0"/>
        <v>26454</v>
      </c>
    </row>
    <row r="8" spans="1:17" ht="15" x14ac:dyDescent="0.2">
      <c r="A8" s="5"/>
      <c r="B8" s="249" t="s">
        <v>127</v>
      </c>
      <c r="C8" s="245">
        <v>258</v>
      </c>
      <c r="D8" s="245">
        <v>306</v>
      </c>
      <c r="E8" s="245">
        <v>320</v>
      </c>
      <c r="F8" s="245">
        <v>345</v>
      </c>
      <c r="G8" s="245">
        <v>404</v>
      </c>
      <c r="H8" s="245">
        <v>471</v>
      </c>
      <c r="K8" s="244" t="s">
        <v>125</v>
      </c>
      <c r="L8" s="279">
        <f>-C6</f>
        <v>-8773</v>
      </c>
      <c r="M8" s="279">
        <f t="shared" ref="M8:Q8" si="1">-D6</f>
        <v>-7895</v>
      </c>
      <c r="N8" s="279">
        <f t="shared" si="1"/>
        <v>-9156</v>
      </c>
      <c r="O8" s="279">
        <f t="shared" si="1"/>
        <v>-11775</v>
      </c>
      <c r="P8" s="279">
        <f t="shared" si="1"/>
        <v>-13349</v>
      </c>
      <c r="Q8" s="280">
        <f t="shared" si="1"/>
        <v>-13618</v>
      </c>
    </row>
    <row r="9" spans="1:17" ht="15" x14ac:dyDescent="0.2">
      <c r="A9" s="13"/>
      <c r="B9" s="250" t="s">
        <v>128</v>
      </c>
      <c r="C9" s="383">
        <v>199</v>
      </c>
      <c r="D9" s="383">
        <v>57</v>
      </c>
      <c r="E9" s="383">
        <v>56</v>
      </c>
      <c r="F9" s="383">
        <v>49</v>
      </c>
      <c r="G9" s="383">
        <v>40</v>
      </c>
      <c r="H9" s="383">
        <v>44</v>
      </c>
      <c r="K9" s="244" t="s">
        <v>132</v>
      </c>
      <c r="L9" s="277">
        <f>-C13</f>
        <v>-971</v>
      </c>
      <c r="M9" s="277">
        <f t="shared" ref="M9:Q9" si="2">-D13</f>
        <v>-947</v>
      </c>
      <c r="N9" s="277">
        <f t="shared" si="2"/>
        <v>-1076</v>
      </c>
      <c r="O9" s="277">
        <f t="shared" si="2"/>
        <v>-1211</v>
      </c>
      <c r="P9" s="277">
        <f t="shared" si="2"/>
        <v>-1419</v>
      </c>
      <c r="Q9" s="278">
        <f t="shared" si="2"/>
        <v>-1622</v>
      </c>
    </row>
    <row r="10" spans="1:17" ht="15" x14ac:dyDescent="0.2">
      <c r="A10" s="5"/>
      <c r="B10" s="256" t="s">
        <v>129</v>
      </c>
      <c r="C10" s="252">
        <v>7475</v>
      </c>
      <c r="D10" s="252">
        <v>6350</v>
      </c>
      <c r="E10" s="252">
        <v>7668</v>
      </c>
      <c r="F10" s="252">
        <v>10890</v>
      </c>
      <c r="G10" s="252">
        <v>11892</v>
      </c>
      <c r="H10" s="252">
        <v>12321</v>
      </c>
      <c r="K10" s="244" t="s">
        <v>131</v>
      </c>
      <c r="L10" s="277">
        <f>-C12</f>
        <v>-2021</v>
      </c>
      <c r="M10" s="277">
        <f t="shared" ref="M10:Q10" si="3">-D12</f>
        <v>-2053</v>
      </c>
      <c r="N10" s="277">
        <f t="shared" si="3"/>
        <v>-2237</v>
      </c>
      <c r="O10" s="277">
        <f t="shared" si="3"/>
        <v>-2481</v>
      </c>
      <c r="P10" s="277">
        <f t="shared" si="3"/>
        <v>-2777</v>
      </c>
      <c r="Q10" s="278">
        <f t="shared" si="3"/>
        <v>-3116</v>
      </c>
    </row>
    <row r="11" spans="1:17" x14ac:dyDescent="0.2">
      <c r="A11" s="5"/>
      <c r="B11" s="243" t="s">
        <v>130</v>
      </c>
      <c r="C11" s="270">
        <v>2992</v>
      </c>
      <c r="D11" s="270">
        <v>3000</v>
      </c>
      <c r="E11" s="270">
        <v>3313</v>
      </c>
      <c r="F11" s="270">
        <v>3692</v>
      </c>
      <c r="G11" s="270">
        <v>4196</v>
      </c>
      <c r="H11" s="270">
        <v>4738</v>
      </c>
      <c r="K11" s="281" t="s">
        <v>126</v>
      </c>
      <c r="L11" s="279">
        <f>-C7</f>
        <v>-457</v>
      </c>
      <c r="M11" s="279">
        <f t="shared" ref="M11:Q11" si="4">-D7</f>
        <v>-363</v>
      </c>
      <c r="N11" s="279">
        <f t="shared" si="4"/>
        <v>-376</v>
      </c>
      <c r="O11" s="279">
        <f t="shared" si="4"/>
        <v>-394</v>
      </c>
      <c r="P11" s="279">
        <f t="shared" si="4"/>
        <v>-444</v>
      </c>
      <c r="Q11" s="280">
        <f t="shared" si="4"/>
        <v>-515</v>
      </c>
    </row>
    <row r="12" spans="1:17" ht="15" x14ac:dyDescent="0.2">
      <c r="A12" s="4"/>
      <c r="B12" s="244" t="s">
        <v>131</v>
      </c>
      <c r="C12" s="245">
        <v>2021</v>
      </c>
      <c r="D12" s="245">
        <v>2053</v>
      </c>
      <c r="E12" s="245">
        <v>2237</v>
      </c>
      <c r="F12" s="245">
        <v>2481</v>
      </c>
      <c r="G12" s="245">
        <v>2777</v>
      </c>
      <c r="H12" s="245">
        <v>3116</v>
      </c>
      <c r="K12" s="54" t="s">
        <v>25</v>
      </c>
      <c r="L12" s="58">
        <f>SUM(L7:L11)</f>
        <v>4483</v>
      </c>
      <c r="M12" s="58">
        <f t="shared" ref="M12:Q12" si="5">SUM(M7:M11)</f>
        <v>3350</v>
      </c>
      <c r="N12" s="58">
        <f t="shared" si="5"/>
        <v>4355</v>
      </c>
      <c r="O12" s="58">
        <f t="shared" si="5"/>
        <v>7198</v>
      </c>
      <c r="P12" s="58">
        <f t="shared" si="5"/>
        <v>7696</v>
      </c>
      <c r="Q12" s="59">
        <f t="shared" si="5"/>
        <v>7583</v>
      </c>
    </row>
    <row r="13" spans="1:17" ht="15" x14ac:dyDescent="0.2">
      <c r="A13" s="4"/>
      <c r="B13" s="246" t="s">
        <v>132</v>
      </c>
      <c r="C13" s="383">
        <v>971</v>
      </c>
      <c r="D13" s="383">
        <v>947</v>
      </c>
      <c r="E13" s="383">
        <v>1076</v>
      </c>
      <c r="F13" s="383">
        <v>1211</v>
      </c>
      <c r="G13" s="383">
        <v>1419</v>
      </c>
      <c r="H13" s="383">
        <v>1622</v>
      </c>
      <c r="K13" s="282" t="s">
        <v>20</v>
      </c>
      <c r="L13" s="283">
        <f>Balance!K17*Balance!K40</f>
        <v>0</v>
      </c>
      <c r="M13" s="283">
        <f>Balance!L17*Balance!L40</f>
        <v>0</v>
      </c>
      <c r="N13" s="283">
        <f>Balance!M17*Balance!M40</f>
        <v>0</v>
      </c>
      <c r="O13" s="283">
        <f>Balance!N17*Balance!N40</f>
        <v>0</v>
      </c>
      <c r="P13" s="283">
        <f>Balance!O17*Balance!O40</f>
        <v>0</v>
      </c>
      <c r="Q13" s="284">
        <f>Balance!P17*Balance!P40</f>
        <v>0</v>
      </c>
    </row>
    <row r="14" spans="1:17" x14ac:dyDescent="0.2">
      <c r="A14" s="4"/>
      <c r="B14" s="256" t="s">
        <v>133</v>
      </c>
      <c r="C14" s="252">
        <v>4483</v>
      </c>
      <c r="D14" s="252">
        <v>3350</v>
      </c>
      <c r="E14" s="252">
        <v>4355</v>
      </c>
      <c r="F14" s="252">
        <v>7198</v>
      </c>
      <c r="G14" s="252">
        <v>7696</v>
      </c>
      <c r="H14" s="252">
        <v>7583</v>
      </c>
      <c r="K14" s="57" t="s">
        <v>21</v>
      </c>
      <c r="L14" s="62">
        <f t="shared" ref="L14:Q14" si="6">SUM(L12:L13)</f>
        <v>4483</v>
      </c>
      <c r="M14" s="62">
        <f t="shared" si="6"/>
        <v>3350</v>
      </c>
      <c r="N14" s="62">
        <f t="shared" si="6"/>
        <v>4355</v>
      </c>
      <c r="O14" s="62">
        <f t="shared" si="6"/>
        <v>7198</v>
      </c>
      <c r="P14" s="62">
        <f t="shared" si="6"/>
        <v>7696</v>
      </c>
      <c r="Q14" s="63">
        <f t="shared" si="6"/>
        <v>7583</v>
      </c>
    </row>
    <row r="15" spans="1:17" x14ac:dyDescent="0.2">
      <c r="A15" s="13"/>
      <c r="B15" s="243" t="s">
        <v>134</v>
      </c>
      <c r="C15" s="270">
        <v>142</v>
      </c>
      <c r="D15" s="270">
        <v>123</v>
      </c>
      <c r="E15" s="270">
        <v>76</v>
      </c>
      <c r="F15" s="270">
        <v>32</v>
      </c>
      <c r="G15" s="270">
        <v>53</v>
      </c>
      <c r="H15" s="270">
        <v>364</v>
      </c>
      <c r="K15" s="76" t="s">
        <v>22</v>
      </c>
      <c r="L15" s="285">
        <f>-L16*L14</f>
        <v>-1384.875796178344</v>
      </c>
      <c r="M15" s="285">
        <f t="shared" ref="M15:Q15" si="7">-M16*M14</f>
        <v>-576.95013765677572</v>
      </c>
      <c r="N15" s="285">
        <f t="shared" si="7"/>
        <v>-571.81589054248673</v>
      </c>
      <c r="O15" s="285">
        <f t="shared" si="7"/>
        <v>-938.68468468468461</v>
      </c>
      <c r="P15" s="285">
        <f t="shared" si="7"/>
        <v>-1087.7094354520332</v>
      </c>
      <c r="Q15" s="286">
        <f t="shared" si="7"/>
        <v>-845.17625712804556</v>
      </c>
    </row>
    <row r="16" spans="1:17" ht="15" x14ac:dyDescent="0.2">
      <c r="A16" s="13"/>
      <c r="B16" s="246" t="s">
        <v>135</v>
      </c>
      <c r="C16" s="245">
        <v>142</v>
      </c>
      <c r="D16" s="245">
        <v>123</v>
      </c>
      <c r="E16" s="245">
        <v>76</v>
      </c>
      <c r="F16" s="245">
        <v>32</v>
      </c>
      <c r="G16" s="245">
        <v>53</v>
      </c>
      <c r="H16" s="245">
        <v>364</v>
      </c>
      <c r="K16" s="76" t="s">
        <v>47</v>
      </c>
      <c r="L16" s="287">
        <f t="shared" ref="L16:Q16" si="8">C30/C29</f>
        <v>0.30891719745222929</v>
      </c>
      <c r="M16" s="287">
        <f t="shared" si="8"/>
        <v>0.17222392168858977</v>
      </c>
      <c r="N16" s="287">
        <f t="shared" si="8"/>
        <v>0.1313010081613058</v>
      </c>
      <c r="O16" s="287">
        <f t="shared" si="8"/>
        <v>0.13040909762221237</v>
      </c>
      <c r="P16" s="287">
        <f t="shared" si="8"/>
        <v>0.14133438610343466</v>
      </c>
      <c r="Q16" s="288">
        <f t="shared" si="8"/>
        <v>0.11145671332296526</v>
      </c>
    </row>
    <row r="17" spans="1:17" ht="16" thickBot="1" x14ac:dyDescent="0.25">
      <c r="B17" s="251" t="s">
        <v>136</v>
      </c>
      <c r="C17" s="270">
        <v>231</v>
      </c>
      <c r="D17" s="270">
        <v>234</v>
      </c>
      <c r="E17" s="270">
        <v>233</v>
      </c>
      <c r="F17" s="270">
        <v>223</v>
      </c>
      <c r="G17" s="270">
        <v>215</v>
      </c>
      <c r="H17" s="270">
        <v>225</v>
      </c>
      <c r="K17" s="60" t="s">
        <v>24</v>
      </c>
      <c r="L17" s="99">
        <f t="shared" ref="L17:Q17" si="9">SUM(L14:L15)</f>
        <v>3098.124203821656</v>
      </c>
      <c r="M17" s="99">
        <f t="shared" si="9"/>
        <v>2773.049862343224</v>
      </c>
      <c r="N17" s="99">
        <f t="shared" si="9"/>
        <v>3783.1841094575134</v>
      </c>
      <c r="O17" s="99">
        <f t="shared" si="9"/>
        <v>6259.3153153153153</v>
      </c>
      <c r="P17" s="99">
        <f t="shared" si="9"/>
        <v>6608.2905645479668</v>
      </c>
      <c r="Q17" s="100">
        <f t="shared" si="9"/>
        <v>6737.8237428719549</v>
      </c>
    </row>
    <row r="18" spans="1:17" ht="16" thickBot="1" x14ac:dyDescent="0.25">
      <c r="A18" s="15"/>
      <c r="B18" s="377" t="s">
        <v>196</v>
      </c>
      <c r="C18" s="245">
        <v>231</v>
      </c>
      <c r="D18" s="245">
        <v>234</v>
      </c>
      <c r="E18" s="245">
        <v>233</v>
      </c>
      <c r="F18" s="245">
        <v>223</v>
      </c>
      <c r="G18" s="245">
        <v>215</v>
      </c>
      <c r="H18" s="245">
        <v>225</v>
      </c>
      <c r="K18" s="97" t="s">
        <v>30</v>
      </c>
      <c r="L18" s="98">
        <f>+L17/Balance!$K$20</f>
        <v>0.45201035932094014</v>
      </c>
      <c r="M18" s="98">
        <f>+M17/Balance!$L$20</f>
        <v>0.39870396401279395</v>
      </c>
      <c r="N18" s="98">
        <f>+N17/Balance!$M$20</f>
        <v>0.47991679683591443</v>
      </c>
      <c r="O18" s="98">
        <f>+O17/Balance!$N$20</f>
        <v>0.65768592327930275</v>
      </c>
      <c r="P18" s="98">
        <f>+P17/Balance!O20</f>
        <v>0.52084227752452894</v>
      </c>
      <c r="Q18" s="187">
        <f>+Q17/Balance!P20</f>
        <v>0.55573897094641034</v>
      </c>
    </row>
    <row r="19" spans="1:17" ht="15" thickBot="1" x14ac:dyDescent="0.25">
      <c r="A19" s="4"/>
      <c r="B19" s="243" t="s">
        <v>137</v>
      </c>
      <c r="C19" s="270">
        <v>-2</v>
      </c>
      <c r="D19" s="270">
        <v>-30</v>
      </c>
      <c r="E19" s="270">
        <v>32</v>
      </c>
      <c r="F19" s="270">
        <v>236</v>
      </c>
      <c r="G19" s="270">
        <v>-65</v>
      </c>
      <c r="H19" s="270">
        <v>6</v>
      </c>
      <c r="K19" s="264"/>
      <c r="L19" s="77"/>
      <c r="M19" s="77"/>
      <c r="N19" s="77"/>
      <c r="O19" s="77"/>
      <c r="P19" s="77"/>
      <c r="Q19" s="276"/>
    </row>
    <row r="20" spans="1:17" x14ac:dyDescent="0.2">
      <c r="A20" s="4"/>
      <c r="B20" s="379" t="s">
        <v>197</v>
      </c>
      <c r="C20" s="252">
        <v>5</v>
      </c>
      <c r="D20" s="252">
        <v>1</v>
      </c>
      <c r="E20" s="252">
        <v>8</v>
      </c>
      <c r="F20" s="252">
        <v>7</v>
      </c>
      <c r="G20" s="252">
        <v>7</v>
      </c>
      <c r="H20" s="252">
        <v>125</v>
      </c>
      <c r="K20" s="272" t="s">
        <v>15</v>
      </c>
      <c r="L20" s="289"/>
      <c r="M20" s="290">
        <f>Balance!L21</f>
        <v>101.05999999999949</v>
      </c>
      <c r="N20" s="290">
        <f>Balance!M21</f>
        <v>927.84000000000015</v>
      </c>
      <c r="O20" s="290">
        <f>Balance!N21</f>
        <v>1634.1800000000003</v>
      </c>
      <c r="P20" s="290">
        <f>Balance!O21</f>
        <v>3170.5200000000004</v>
      </c>
      <c r="Q20" s="291">
        <f>Balance!P21</f>
        <v>-563.6200000000008</v>
      </c>
    </row>
    <row r="21" spans="1:17" ht="16" thickBot="1" x14ac:dyDescent="0.25">
      <c r="A21" s="13"/>
      <c r="B21" s="380" t="s">
        <v>198</v>
      </c>
      <c r="C21" s="383">
        <v>5</v>
      </c>
      <c r="D21" s="383">
        <v>1</v>
      </c>
      <c r="E21" s="383">
        <v>8</v>
      </c>
      <c r="F21" s="383">
        <v>7</v>
      </c>
      <c r="G21" s="383">
        <v>7</v>
      </c>
      <c r="H21" s="383">
        <v>125</v>
      </c>
      <c r="K21" s="82" t="s">
        <v>26</v>
      </c>
      <c r="L21" s="61"/>
      <c r="M21" s="83">
        <f>M17-M20</f>
        <v>2671.9898623432246</v>
      </c>
      <c r="N21" s="83">
        <f t="shared" ref="N21:Q21" si="10">N17-N20</f>
        <v>2855.3441094575132</v>
      </c>
      <c r="O21" s="83">
        <f t="shared" si="10"/>
        <v>4625.135315315315</v>
      </c>
      <c r="P21" s="83">
        <f t="shared" si="10"/>
        <v>3437.7705645479664</v>
      </c>
      <c r="Q21" s="84">
        <f t="shared" si="10"/>
        <v>7301.4437428719557</v>
      </c>
    </row>
    <row r="22" spans="1:17" ht="18" x14ac:dyDescent="0.35">
      <c r="A22" s="7"/>
      <c r="B22" s="377" t="s">
        <v>199</v>
      </c>
      <c r="C22" s="245">
        <v>0</v>
      </c>
      <c r="D22" s="245">
        <v>0</v>
      </c>
      <c r="E22" s="245">
        <v>0</v>
      </c>
      <c r="F22" s="245">
        <v>311</v>
      </c>
      <c r="G22" s="384">
        <v>-4</v>
      </c>
      <c r="H22" s="245">
        <v>0</v>
      </c>
      <c r="K22" s="78"/>
      <c r="L22" s="80"/>
      <c r="M22" s="81"/>
      <c r="N22" s="81"/>
      <c r="O22" s="81"/>
      <c r="P22" s="81"/>
      <c r="Q22" s="81"/>
    </row>
    <row r="23" spans="1:17" ht="15" x14ac:dyDescent="0.2">
      <c r="A23" s="5"/>
      <c r="B23" s="393" t="s">
        <v>200</v>
      </c>
      <c r="C23" s="270">
        <v>7</v>
      </c>
      <c r="D23" s="270">
        <v>31</v>
      </c>
      <c r="E23" s="270">
        <v>9</v>
      </c>
      <c r="F23" s="270">
        <v>82</v>
      </c>
      <c r="G23" s="270">
        <v>68</v>
      </c>
      <c r="H23" s="270">
        <v>119</v>
      </c>
      <c r="J23"/>
      <c r="K23"/>
      <c r="L23"/>
      <c r="M23"/>
      <c r="N23"/>
      <c r="O23"/>
      <c r="P23"/>
      <c r="Q23"/>
    </row>
    <row r="24" spans="1:17" ht="15" x14ac:dyDescent="0.2">
      <c r="A24" s="5"/>
      <c r="B24" s="381" t="s">
        <v>201</v>
      </c>
      <c r="C24" s="305"/>
      <c r="D24" s="245">
        <v>30</v>
      </c>
      <c r="E24" s="245">
        <v>8</v>
      </c>
      <c r="F24" s="245">
        <v>56</v>
      </c>
      <c r="G24" s="245">
        <v>4</v>
      </c>
      <c r="H24" s="245">
        <v>134</v>
      </c>
      <c r="J24"/>
      <c r="K24"/>
      <c r="L24"/>
      <c r="M24"/>
      <c r="N24"/>
      <c r="O24"/>
      <c r="P24"/>
      <c r="Q24"/>
    </row>
    <row r="25" spans="1:17" ht="15" x14ac:dyDescent="0.2">
      <c r="A25" s="4"/>
      <c r="B25" s="380" t="s">
        <v>202</v>
      </c>
      <c r="C25" s="383">
        <v>7</v>
      </c>
      <c r="D25" s="383">
        <v>1</v>
      </c>
      <c r="E25" s="383">
        <v>1</v>
      </c>
      <c r="F25" s="383">
        <v>26</v>
      </c>
      <c r="G25" s="383">
        <v>64</v>
      </c>
      <c r="H25" s="387">
        <v>-15</v>
      </c>
      <c r="J25"/>
      <c r="K25"/>
      <c r="L25"/>
      <c r="M25"/>
      <c r="N25"/>
      <c r="O25"/>
      <c r="P25"/>
      <c r="Q25"/>
    </row>
    <row r="26" spans="1:17" ht="15" x14ac:dyDescent="0.2">
      <c r="A26" s="4"/>
      <c r="B26" s="379" t="s">
        <v>203</v>
      </c>
      <c r="C26" s="388"/>
      <c r="D26" s="388"/>
      <c r="E26" s="252">
        <v>33</v>
      </c>
      <c r="F26" s="388"/>
      <c r="G26" s="388"/>
      <c r="H26" s="388"/>
      <c r="J26"/>
      <c r="K26"/>
      <c r="L26"/>
      <c r="M26"/>
      <c r="N26"/>
      <c r="O26"/>
      <c r="P26"/>
      <c r="Q26"/>
    </row>
    <row r="27" spans="1:17" ht="15" x14ac:dyDescent="0.2">
      <c r="A27" s="4"/>
      <c r="B27" s="380" t="s">
        <v>204</v>
      </c>
      <c r="C27" s="385"/>
      <c r="D27" s="385"/>
      <c r="E27" s="383">
        <v>33</v>
      </c>
      <c r="F27" s="385"/>
      <c r="G27" s="385"/>
      <c r="H27" s="385"/>
      <c r="J27"/>
      <c r="K27"/>
      <c r="L27"/>
      <c r="M27"/>
      <c r="N27"/>
      <c r="O27"/>
      <c r="P27"/>
      <c r="Q27"/>
    </row>
    <row r="28" spans="1:17" ht="15" x14ac:dyDescent="0.2">
      <c r="A28" s="4"/>
      <c r="B28" s="246" t="s">
        <v>138</v>
      </c>
      <c r="C28" s="305"/>
      <c r="D28" s="305"/>
      <c r="E28" s="305"/>
      <c r="F28" s="305"/>
      <c r="G28" s="305"/>
      <c r="H28" s="305"/>
      <c r="I28" s="8"/>
      <c r="J28"/>
      <c r="K28"/>
      <c r="L28"/>
      <c r="M28"/>
      <c r="N28"/>
      <c r="O28"/>
      <c r="P28"/>
      <c r="Q28"/>
    </row>
    <row r="29" spans="1:17" ht="15" x14ac:dyDescent="0.2">
      <c r="A29" s="4"/>
      <c r="B29" s="374" t="s">
        <v>139</v>
      </c>
      <c r="C29" s="270">
        <v>4396</v>
      </c>
      <c r="D29" s="270">
        <v>3269</v>
      </c>
      <c r="E29" s="270">
        <v>4166</v>
      </c>
      <c r="F29" s="270">
        <v>6771</v>
      </c>
      <c r="G29" s="270">
        <v>7599</v>
      </c>
      <c r="H29" s="270">
        <v>7716</v>
      </c>
      <c r="J29"/>
      <c r="K29"/>
      <c r="L29"/>
      <c r="M29"/>
      <c r="N29"/>
      <c r="O29"/>
      <c r="P29"/>
      <c r="Q29"/>
    </row>
    <row r="30" spans="1:17" ht="15" x14ac:dyDescent="0.2">
      <c r="A30" s="13"/>
      <c r="B30" s="375" t="s">
        <v>140</v>
      </c>
      <c r="C30" s="252">
        <v>1358</v>
      </c>
      <c r="D30" s="252">
        <v>563</v>
      </c>
      <c r="E30" s="252">
        <v>547</v>
      </c>
      <c r="F30" s="252">
        <v>883</v>
      </c>
      <c r="G30" s="252">
        <v>1074</v>
      </c>
      <c r="H30" s="252">
        <v>860</v>
      </c>
      <c r="J30"/>
      <c r="K30"/>
      <c r="L30"/>
      <c r="M30"/>
      <c r="N30"/>
      <c r="O30"/>
      <c r="P30"/>
      <c r="Q30"/>
    </row>
    <row r="31" spans="1:17" ht="15" x14ac:dyDescent="0.2">
      <c r="B31" s="376" t="s">
        <v>141</v>
      </c>
      <c r="C31" s="383">
        <v>1043</v>
      </c>
      <c r="D31" s="383">
        <v>252</v>
      </c>
      <c r="E31" s="383">
        <v>216</v>
      </c>
      <c r="F31" s="383">
        <v>479</v>
      </c>
      <c r="G31" s="383">
        <v>604</v>
      </c>
      <c r="H31" s="383">
        <v>762</v>
      </c>
      <c r="J31"/>
      <c r="K31"/>
      <c r="L31"/>
      <c r="M31"/>
      <c r="N31"/>
      <c r="O31"/>
      <c r="P31"/>
      <c r="Q31"/>
    </row>
    <row r="32" spans="1:17" ht="15" x14ac:dyDescent="0.2">
      <c r="A32" s="5"/>
      <c r="B32" s="377" t="s">
        <v>142</v>
      </c>
      <c r="C32" s="245">
        <v>117</v>
      </c>
      <c r="D32" s="245">
        <v>260</v>
      </c>
      <c r="E32" s="245">
        <v>263</v>
      </c>
      <c r="F32" s="245">
        <v>344</v>
      </c>
      <c r="G32" s="245">
        <v>275</v>
      </c>
      <c r="H32" s="245">
        <v>456</v>
      </c>
      <c r="J32"/>
      <c r="K32"/>
      <c r="L32"/>
      <c r="M32"/>
      <c r="N32"/>
      <c r="O32"/>
      <c r="P32"/>
      <c r="Q32"/>
    </row>
    <row r="33" spans="1:17" ht="15" x14ac:dyDescent="0.2">
      <c r="B33" s="376" t="s">
        <v>143</v>
      </c>
      <c r="C33" s="383">
        <v>141</v>
      </c>
      <c r="D33" s="383">
        <v>5</v>
      </c>
      <c r="E33" s="387">
        <v>-8</v>
      </c>
      <c r="F33" s="387">
        <v>-7</v>
      </c>
      <c r="G33" s="387">
        <v>-70</v>
      </c>
      <c r="H33" s="387">
        <v>-297</v>
      </c>
      <c r="J33"/>
      <c r="K33"/>
      <c r="L33"/>
      <c r="M33"/>
      <c r="N33"/>
      <c r="O33"/>
      <c r="P33"/>
      <c r="Q33"/>
    </row>
    <row r="34" spans="1:17" ht="15" x14ac:dyDescent="0.2">
      <c r="B34" s="377" t="s">
        <v>144</v>
      </c>
      <c r="C34" s="245">
        <v>57</v>
      </c>
      <c r="D34" s="245">
        <v>46</v>
      </c>
      <c r="E34" s="245">
        <v>76</v>
      </c>
      <c r="F34" s="245">
        <v>67</v>
      </c>
      <c r="G34" s="245">
        <v>265</v>
      </c>
      <c r="H34" s="384">
        <v>-61</v>
      </c>
      <c r="J34"/>
      <c r="K34"/>
      <c r="L34"/>
      <c r="M34"/>
      <c r="N34"/>
      <c r="O34"/>
      <c r="P34"/>
      <c r="Q34"/>
    </row>
    <row r="35" spans="1:17" ht="15" x14ac:dyDescent="0.2">
      <c r="B35" s="385" t="s">
        <v>145</v>
      </c>
      <c r="C35" s="383">
        <v>3038</v>
      </c>
      <c r="D35" s="383">
        <v>2706</v>
      </c>
      <c r="E35" s="383">
        <v>3619</v>
      </c>
      <c r="F35" s="383">
        <v>5888</v>
      </c>
      <c r="G35" s="383">
        <v>6525</v>
      </c>
      <c r="H35" s="383">
        <v>6856</v>
      </c>
      <c r="J35"/>
      <c r="K35"/>
      <c r="L35"/>
      <c r="M35"/>
      <c r="N35"/>
      <c r="O35"/>
      <c r="P35"/>
      <c r="Q35"/>
    </row>
    <row r="36" spans="1:17" ht="15" x14ac:dyDescent="0.2">
      <c r="B36" s="388" t="s">
        <v>146</v>
      </c>
      <c r="C36" s="252">
        <v>3038</v>
      </c>
      <c r="D36" s="252">
        <v>2706</v>
      </c>
      <c r="E36" s="252">
        <v>3619</v>
      </c>
      <c r="F36" s="252">
        <v>5888</v>
      </c>
      <c r="G36" s="252">
        <v>6525</v>
      </c>
      <c r="H36" s="252">
        <v>6856</v>
      </c>
      <c r="J36"/>
      <c r="K36"/>
      <c r="L36"/>
      <c r="M36"/>
      <c r="N36"/>
      <c r="O36"/>
      <c r="P36"/>
      <c r="Q36"/>
    </row>
    <row r="37" spans="1:17" ht="15" x14ac:dyDescent="0.2">
      <c r="B37" s="382" t="s">
        <v>205</v>
      </c>
      <c r="C37" s="383">
        <v>3038</v>
      </c>
      <c r="D37" s="383">
        <v>2706</v>
      </c>
      <c r="E37" s="383">
        <v>3619</v>
      </c>
      <c r="F37" s="383">
        <v>5888</v>
      </c>
      <c r="G37" s="383">
        <v>6525</v>
      </c>
      <c r="H37" s="383">
        <v>6856</v>
      </c>
      <c r="J37"/>
      <c r="K37"/>
      <c r="L37"/>
      <c r="M37"/>
      <c r="N37"/>
      <c r="O37"/>
      <c r="P37"/>
      <c r="Q37"/>
    </row>
    <row r="38" spans="1:17" ht="15" x14ac:dyDescent="0.2">
      <c r="B38" s="388" t="s">
        <v>192</v>
      </c>
      <c r="C38" s="388"/>
      <c r="D38" s="388"/>
      <c r="E38" s="388"/>
      <c r="F38" s="388"/>
      <c r="G38" s="388"/>
      <c r="H38" s="388"/>
      <c r="J38"/>
      <c r="K38"/>
      <c r="L38"/>
      <c r="M38"/>
      <c r="N38"/>
      <c r="O38"/>
      <c r="P38"/>
      <c r="Q38"/>
    </row>
    <row r="39" spans="1:17" ht="15" x14ac:dyDescent="0.2">
      <c r="B39" s="382" t="s">
        <v>206</v>
      </c>
      <c r="C39" s="389">
        <v>2.9596490000000002</v>
      </c>
      <c r="D39" s="389">
        <v>2.8412700000000002</v>
      </c>
      <c r="E39" s="389">
        <v>3.945179</v>
      </c>
      <c r="F39" s="389">
        <v>6.5867250000000004</v>
      </c>
      <c r="G39" s="389">
        <v>7.388255</v>
      </c>
      <c r="H39" s="389">
        <v>8.1185799999999997</v>
      </c>
      <c r="J39"/>
      <c r="K39"/>
      <c r="L39"/>
      <c r="M39"/>
      <c r="N39"/>
      <c r="O39"/>
      <c r="P39"/>
      <c r="Q39"/>
    </row>
    <row r="40" spans="1:17" ht="15" x14ac:dyDescent="0.2">
      <c r="B40" s="375" t="s">
        <v>207</v>
      </c>
      <c r="C40" s="394">
        <v>2.9990000000000001</v>
      </c>
      <c r="D40" s="394">
        <v>2.8879000000000001</v>
      </c>
      <c r="E40" s="394">
        <v>3.9508999999999999</v>
      </c>
      <c r="F40" s="394">
        <v>6.4702999999999999</v>
      </c>
      <c r="G40" s="394">
        <v>7.4913999999999996</v>
      </c>
      <c r="H40" s="394">
        <v>8.1618999999999993</v>
      </c>
      <c r="J40"/>
      <c r="K40"/>
      <c r="L40"/>
      <c r="M40"/>
      <c r="N40"/>
      <c r="O40"/>
      <c r="P40"/>
      <c r="Q40"/>
    </row>
    <row r="41" spans="1:17" ht="15" x14ac:dyDescent="0.2">
      <c r="B41" s="376" t="s">
        <v>208</v>
      </c>
      <c r="C41" s="389">
        <v>1013</v>
      </c>
      <c r="D41" s="389">
        <v>937</v>
      </c>
      <c r="E41" s="389">
        <v>916</v>
      </c>
      <c r="F41" s="389">
        <v>910</v>
      </c>
      <c r="G41" s="389">
        <v>871</v>
      </c>
      <c r="H41" s="389">
        <v>840</v>
      </c>
      <c r="J41"/>
      <c r="K41"/>
      <c r="L41"/>
      <c r="M41"/>
      <c r="N41"/>
      <c r="O41"/>
      <c r="P41"/>
      <c r="Q41"/>
    </row>
    <row r="42" spans="1:17" ht="15" x14ac:dyDescent="0.2">
      <c r="B42" s="377" t="s">
        <v>209</v>
      </c>
      <c r="C42" s="391">
        <v>967</v>
      </c>
      <c r="D42" s="391">
        <v>916</v>
      </c>
      <c r="E42" s="391">
        <v>914</v>
      </c>
      <c r="F42" s="391">
        <v>892</v>
      </c>
      <c r="G42" s="391">
        <v>844</v>
      </c>
      <c r="H42" s="391">
        <v>833</v>
      </c>
      <c r="J42"/>
      <c r="K42"/>
      <c r="L42"/>
      <c r="M42"/>
      <c r="N42"/>
      <c r="O42"/>
      <c r="P42"/>
      <c r="Q42"/>
    </row>
    <row r="43" spans="1:17" ht="15" x14ac:dyDescent="0.2">
      <c r="B43" s="378" t="s">
        <v>210</v>
      </c>
      <c r="C43" s="395">
        <v>2.9609999999999999</v>
      </c>
      <c r="D43" s="395">
        <v>2.8635000000000002</v>
      </c>
      <c r="E43" s="395">
        <v>3.9209000000000001</v>
      </c>
      <c r="F43" s="395">
        <v>6.407</v>
      </c>
      <c r="G43" s="395">
        <v>7.4401000000000002</v>
      </c>
      <c r="H43" s="395">
        <v>8.1135999999999999</v>
      </c>
      <c r="J43"/>
      <c r="K43"/>
      <c r="L43"/>
      <c r="M43"/>
      <c r="N43"/>
      <c r="O43"/>
      <c r="P43"/>
      <c r="Q43"/>
    </row>
    <row r="44" spans="1:17" ht="15" x14ac:dyDescent="0.2">
      <c r="B44" s="377" t="s">
        <v>211</v>
      </c>
      <c r="C44" s="391">
        <v>1026</v>
      </c>
      <c r="D44" s="391">
        <v>945</v>
      </c>
      <c r="E44" s="391">
        <v>923</v>
      </c>
      <c r="F44" s="391">
        <v>919</v>
      </c>
      <c r="G44" s="391">
        <v>877</v>
      </c>
      <c r="H44" s="391">
        <v>845</v>
      </c>
      <c r="J44"/>
      <c r="K44"/>
      <c r="L44"/>
      <c r="M44"/>
      <c r="N44"/>
      <c r="O44"/>
      <c r="P44"/>
      <c r="Q44"/>
    </row>
    <row r="45" spans="1:17" ht="15" x14ac:dyDescent="0.2">
      <c r="B45" s="376" t="s">
        <v>209</v>
      </c>
      <c r="C45" s="389">
        <v>967</v>
      </c>
      <c r="D45" s="389">
        <v>916</v>
      </c>
      <c r="E45" s="389">
        <v>914</v>
      </c>
      <c r="F45" s="389">
        <v>892</v>
      </c>
      <c r="G45" s="389">
        <v>844</v>
      </c>
      <c r="H45" s="389">
        <v>833</v>
      </c>
      <c r="J45"/>
      <c r="K45"/>
      <c r="L45"/>
      <c r="M45"/>
      <c r="N45"/>
      <c r="O45"/>
      <c r="P45"/>
      <c r="Q45"/>
    </row>
    <row r="46" spans="1:17" ht="15" x14ac:dyDescent="0.2">
      <c r="B46" s="390" t="s">
        <v>212</v>
      </c>
      <c r="C46" s="391">
        <v>81.766999999999996</v>
      </c>
      <c r="D46" s="391">
        <v>83.863</v>
      </c>
      <c r="E46" s="391">
        <v>90.802999999999997</v>
      </c>
      <c r="F46" s="391">
        <v>80.132999999999996</v>
      </c>
      <c r="G46" s="391">
        <v>78.102999999999994</v>
      </c>
      <c r="H46" s="391">
        <v>94.710999999999999</v>
      </c>
      <c r="J46"/>
      <c r="K46"/>
      <c r="L46"/>
      <c r="M46"/>
      <c r="N46"/>
      <c r="O46"/>
      <c r="P46"/>
      <c r="Q46"/>
    </row>
    <row r="47" spans="1:17" s="9" customFormat="1" ht="15" x14ac:dyDescent="0.2">
      <c r="A47" s="3"/>
      <c r="B47" s="378" t="s">
        <v>213</v>
      </c>
      <c r="C47" s="395">
        <v>0.7</v>
      </c>
      <c r="D47" s="395">
        <v>0.83</v>
      </c>
      <c r="E47" s="395">
        <v>0.87</v>
      </c>
      <c r="F47" s="395">
        <v>0.94</v>
      </c>
      <c r="G47" s="395">
        <v>1.02</v>
      </c>
      <c r="H47" s="395">
        <v>1.22</v>
      </c>
      <c r="J47"/>
      <c r="K47"/>
      <c r="L47"/>
      <c r="M47"/>
      <c r="N47"/>
      <c r="O47"/>
      <c r="P47"/>
      <c r="Q47"/>
    </row>
    <row r="48" spans="1:17" s="9" customFormat="1" ht="15" x14ac:dyDescent="0.2">
      <c r="A48" s="3"/>
      <c r="B48" s="377" t="s">
        <v>214</v>
      </c>
      <c r="C48" s="391">
        <v>23.640661999999999</v>
      </c>
      <c r="D48" s="391">
        <v>28.985506999999998</v>
      </c>
      <c r="E48" s="391">
        <v>22.188783000000001</v>
      </c>
      <c r="F48" s="391">
        <v>14.671453</v>
      </c>
      <c r="G48" s="391">
        <v>13.709493</v>
      </c>
      <c r="H48" s="391">
        <v>15.036481999999999</v>
      </c>
      <c r="J48"/>
      <c r="K48"/>
      <c r="L48"/>
      <c r="M48"/>
      <c r="N48"/>
      <c r="O48"/>
      <c r="P48"/>
      <c r="Q48"/>
    </row>
    <row r="49" spans="1:17" s="9" customFormat="1" ht="15" x14ac:dyDescent="0.2">
      <c r="A49" s="3"/>
      <c r="B49" s="374" t="s">
        <v>215</v>
      </c>
      <c r="C49" s="374"/>
      <c r="D49" s="374"/>
      <c r="E49" s="374"/>
      <c r="F49" s="374"/>
      <c r="G49" s="374"/>
      <c r="H49" s="374"/>
      <c r="J49"/>
      <c r="K49"/>
      <c r="L49"/>
      <c r="M49"/>
      <c r="N49"/>
      <c r="O49"/>
      <c r="P49"/>
      <c r="Q49"/>
    </row>
    <row r="50" spans="1:17" s="9" customFormat="1" ht="15" x14ac:dyDescent="0.2">
      <c r="A50" s="3"/>
      <c r="B50" s="375" t="s">
        <v>215</v>
      </c>
      <c r="C50" s="252">
        <v>4940</v>
      </c>
      <c r="D50" s="252">
        <v>3713</v>
      </c>
      <c r="E50" s="252">
        <v>4731</v>
      </c>
      <c r="F50" s="252">
        <v>7592</v>
      </c>
      <c r="G50" s="252">
        <v>8140</v>
      </c>
      <c r="H50" s="252">
        <v>8098</v>
      </c>
      <c r="J50"/>
      <c r="K50"/>
      <c r="L50"/>
      <c r="M50"/>
      <c r="N50"/>
      <c r="O50"/>
      <c r="P50"/>
      <c r="Q50"/>
    </row>
    <row r="51" spans="1:17" s="9" customFormat="1" ht="15" x14ac:dyDescent="0.2">
      <c r="A51" s="3"/>
      <c r="B51" s="376" t="s">
        <v>216</v>
      </c>
      <c r="C51" s="383">
        <v>4483</v>
      </c>
      <c r="D51" s="383">
        <v>3350</v>
      </c>
      <c r="E51" s="383">
        <v>4355</v>
      </c>
      <c r="F51" s="383">
        <v>7198</v>
      </c>
      <c r="G51" s="383">
        <v>7696</v>
      </c>
      <c r="H51" s="383">
        <v>7583</v>
      </c>
      <c r="J51"/>
      <c r="K51"/>
      <c r="L51"/>
      <c r="M51"/>
      <c r="N51"/>
      <c r="O51"/>
      <c r="P51"/>
      <c r="Q51"/>
    </row>
    <row r="52" spans="1:17" s="9" customFormat="1" ht="15" x14ac:dyDescent="0.2">
      <c r="A52" s="3"/>
      <c r="B52" s="377" t="s">
        <v>126</v>
      </c>
      <c r="C52" s="245">
        <v>457</v>
      </c>
      <c r="D52" s="245">
        <v>363</v>
      </c>
      <c r="E52" s="245">
        <v>376</v>
      </c>
      <c r="F52" s="245">
        <v>394</v>
      </c>
      <c r="G52" s="245">
        <v>444</v>
      </c>
      <c r="H52" s="245">
        <v>515</v>
      </c>
      <c r="J52"/>
      <c r="K52"/>
      <c r="L52"/>
      <c r="M52"/>
      <c r="N52"/>
      <c r="O52"/>
      <c r="P52"/>
      <c r="Q52"/>
    </row>
    <row r="53" spans="1:17" s="9" customFormat="1" ht="15" x14ac:dyDescent="0.2">
      <c r="A53" s="3"/>
      <c r="B53" s="392" t="s">
        <v>195</v>
      </c>
      <c r="D53"/>
      <c r="E53"/>
      <c r="F53"/>
      <c r="G53"/>
      <c r="H53"/>
      <c r="J53"/>
      <c r="K53"/>
      <c r="L53"/>
      <c r="M53"/>
      <c r="N53"/>
      <c r="O53"/>
      <c r="P53"/>
      <c r="Q53"/>
    </row>
    <row r="54" spans="1:17" s="9" customFormat="1" x14ac:dyDescent="0.2">
      <c r="A54" s="3"/>
    </row>
    <row r="55" spans="1:17" s="9" customFormat="1" x14ac:dyDescent="0.2">
      <c r="A55" s="3"/>
    </row>
    <row r="56" spans="1:17" s="9" customFormat="1" x14ac:dyDescent="0.2">
      <c r="A56" s="3"/>
    </row>
    <row r="57" spans="1:17" s="9" customFormat="1" x14ac:dyDescent="0.2">
      <c r="A57" s="3"/>
    </row>
    <row r="58" spans="1:17" s="9" customFormat="1" x14ac:dyDescent="0.2">
      <c r="A58" s="3"/>
    </row>
    <row r="59" spans="1:17" s="9" customFormat="1" x14ac:dyDescent="0.2">
      <c r="A59" s="3"/>
    </row>
    <row r="60" spans="1:17" s="9" customFormat="1" x14ac:dyDescent="0.2">
      <c r="A60" s="3"/>
    </row>
    <row r="61" spans="1:17" s="9" customFormat="1" x14ac:dyDescent="0.2">
      <c r="A61" s="3"/>
    </row>
    <row r="62" spans="1:17" s="9" customFormat="1" x14ac:dyDescent="0.2">
      <c r="A62" s="3"/>
    </row>
    <row r="63" spans="1:17" s="9" customFormat="1" x14ac:dyDescent="0.2">
      <c r="A63" s="3"/>
    </row>
    <row r="64" spans="1:17" s="9" customFormat="1" x14ac:dyDescent="0.2">
      <c r="A64" s="3"/>
    </row>
    <row r="65" spans="1:1" s="9" customFormat="1" x14ac:dyDescent="0.2">
      <c r="A65" s="3"/>
    </row>
    <row r="66" spans="1:1" s="9" customFormat="1" x14ac:dyDescent="0.2">
      <c r="A66" s="3"/>
    </row>
    <row r="67" spans="1:1" s="9" customFormat="1" x14ac:dyDescent="0.2">
      <c r="A67" s="3"/>
    </row>
    <row r="68" spans="1:1" s="9" customFormat="1" x14ac:dyDescent="0.2">
      <c r="A68" s="3"/>
    </row>
    <row r="69" spans="1:1" s="9" customFormat="1" x14ac:dyDescent="0.2">
      <c r="A69" s="3"/>
    </row>
    <row r="70" spans="1:1" s="9" customFormat="1" x14ac:dyDescent="0.2">
      <c r="A70" s="3"/>
    </row>
    <row r="71" spans="1:1" s="9" customFormat="1" x14ac:dyDescent="0.2">
      <c r="A71" s="3"/>
    </row>
    <row r="72" spans="1:1" s="9" customFormat="1" x14ac:dyDescent="0.2">
      <c r="A72" s="3"/>
    </row>
    <row r="73" spans="1:1" s="9" customFormat="1" x14ac:dyDescent="0.2">
      <c r="A73" s="3"/>
    </row>
    <row r="74" spans="1:1" s="9" customFormat="1" x14ac:dyDescent="0.2">
      <c r="A74" s="3"/>
    </row>
    <row r="75" spans="1:1" s="9" customFormat="1" x14ac:dyDescent="0.2">
      <c r="A75" s="3"/>
    </row>
    <row r="76" spans="1:1" s="9" customFormat="1" x14ac:dyDescent="0.2">
      <c r="A76" s="3"/>
    </row>
    <row r="77" spans="1:1" s="9" customFormat="1" x14ac:dyDescent="0.2">
      <c r="A77" s="3"/>
    </row>
    <row r="78" spans="1:1" s="9" customFormat="1" x14ac:dyDescent="0.2">
      <c r="A78" s="3"/>
    </row>
    <row r="79" spans="1:1" s="9" customFormat="1" x14ac:dyDescent="0.2">
      <c r="A79" s="3"/>
    </row>
    <row r="80" spans="1:1" s="9" customFormat="1" x14ac:dyDescent="0.2">
      <c r="A80" s="3"/>
    </row>
    <row r="81" spans="1:1" s="9" customFormat="1" x14ac:dyDescent="0.2">
      <c r="A81" s="3"/>
    </row>
    <row r="82" spans="1:1" s="9" customFormat="1" x14ac:dyDescent="0.2">
      <c r="A82" s="3"/>
    </row>
    <row r="83" spans="1:1" s="9" customFormat="1" x14ac:dyDescent="0.2">
      <c r="A83" s="3"/>
    </row>
    <row r="84" spans="1:1" s="9" customFormat="1" x14ac:dyDescent="0.2">
      <c r="A84" s="3"/>
    </row>
    <row r="85" spans="1:1" s="9" customFormat="1" x14ac:dyDescent="0.2">
      <c r="A85" s="3"/>
    </row>
    <row r="86" spans="1:1" s="9" customFormat="1" x14ac:dyDescent="0.2">
      <c r="A86" s="3"/>
    </row>
    <row r="87" spans="1:1" s="9" customFormat="1" x14ac:dyDescent="0.2">
      <c r="A87" s="3"/>
    </row>
    <row r="88" spans="1:1" s="9" customFormat="1" x14ac:dyDescent="0.2">
      <c r="A88" s="3"/>
    </row>
    <row r="89" spans="1:1" s="9" customFormat="1" x14ac:dyDescent="0.2">
      <c r="A89" s="3"/>
    </row>
    <row r="90" spans="1:1" s="9" customFormat="1" x14ac:dyDescent="0.2">
      <c r="A90" s="3"/>
    </row>
    <row r="91" spans="1:1" s="9" customFormat="1" x14ac:dyDescent="0.2">
      <c r="A91" s="3"/>
    </row>
    <row r="92" spans="1:1" s="9" customFormat="1" x14ac:dyDescent="0.2">
      <c r="A92" s="3"/>
    </row>
    <row r="93" spans="1:1" s="9" customFormat="1" x14ac:dyDescent="0.2">
      <c r="A93" s="3"/>
    </row>
    <row r="94" spans="1:1" s="9" customFormat="1" x14ac:dyDescent="0.2">
      <c r="A94" s="3"/>
    </row>
    <row r="95" spans="1:1" s="9" customFormat="1" x14ac:dyDescent="0.2">
      <c r="A95" s="3"/>
    </row>
    <row r="96" spans="1:1" s="9" customFormat="1" x14ac:dyDescent="0.2">
      <c r="A96" s="3"/>
    </row>
    <row r="97" spans="1:1" s="9" customFormat="1" x14ac:dyDescent="0.2">
      <c r="A97" s="3"/>
    </row>
    <row r="98" spans="1:1" s="9" customFormat="1" x14ac:dyDescent="0.2">
      <c r="A98" s="3"/>
    </row>
    <row r="99" spans="1:1" s="9" customFormat="1" x14ac:dyDescent="0.2">
      <c r="A99" s="3"/>
    </row>
    <row r="100" spans="1:1" s="9" customFormat="1" x14ac:dyDescent="0.2">
      <c r="A100" s="3"/>
    </row>
    <row r="101" spans="1:1" s="9" customFormat="1" x14ac:dyDescent="0.2">
      <c r="A101" s="3"/>
    </row>
    <row r="102" spans="1:1" s="9" customFormat="1" x14ac:dyDescent="0.2">
      <c r="A102" s="3"/>
    </row>
    <row r="103" spans="1:1" s="9" customFormat="1" x14ac:dyDescent="0.2">
      <c r="A103" s="3"/>
    </row>
    <row r="104" spans="1:1" s="9" customFormat="1" x14ac:dyDescent="0.2">
      <c r="A104" s="3"/>
    </row>
    <row r="105" spans="1:1" s="9" customFormat="1" x14ac:dyDescent="0.2">
      <c r="A105" s="3"/>
    </row>
    <row r="106" spans="1:1" s="9" customFormat="1" x14ac:dyDescent="0.2">
      <c r="A106" s="3"/>
    </row>
    <row r="107" spans="1:1" s="9" customFormat="1" x14ac:dyDescent="0.2">
      <c r="A107" s="3"/>
    </row>
    <row r="108" spans="1:1" s="9" customFormat="1" x14ac:dyDescent="0.2">
      <c r="A108" s="3"/>
    </row>
    <row r="109" spans="1:1" s="9" customFormat="1" x14ac:dyDescent="0.2">
      <c r="A109" s="3"/>
    </row>
    <row r="110" spans="1:1" s="9" customFormat="1" x14ac:dyDescent="0.2">
      <c r="A110" s="3"/>
    </row>
    <row r="111" spans="1:1" s="9" customFormat="1" x14ac:dyDescent="0.2">
      <c r="A111" s="3"/>
    </row>
    <row r="112" spans="1:1" s="9" customFormat="1" x14ac:dyDescent="0.2">
      <c r="A112" s="3"/>
    </row>
    <row r="113" spans="1:1" s="9" customFormat="1" x14ac:dyDescent="0.2">
      <c r="A113" s="3"/>
    </row>
    <row r="114" spans="1:1" s="9" customFormat="1" x14ac:dyDescent="0.2">
      <c r="A114" s="3"/>
    </row>
    <row r="115" spans="1:1" s="9" customFormat="1" x14ac:dyDescent="0.2">
      <c r="A115" s="3"/>
    </row>
    <row r="116" spans="1:1" s="9" customFormat="1" x14ac:dyDescent="0.2">
      <c r="A116" s="3"/>
    </row>
    <row r="117" spans="1:1" s="9" customFormat="1" x14ac:dyDescent="0.2">
      <c r="A117" s="3"/>
    </row>
    <row r="118" spans="1:1" s="9" customFormat="1" x14ac:dyDescent="0.2">
      <c r="A118" s="3"/>
    </row>
    <row r="119" spans="1:1" s="9" customFormat="1" x14ac:dyDescent="0.2">
      <c r="A119" s="3"/>
    </row>
    <row r="120" spans="1:1" s="9" customFormat="1" x14ac:dyDescent="0.2">
      <c r="A120" s="3"/>
    </row>
    <row r="121" spans="1:1" s="9" customFormat="1" x14ac:dyDescent="0.2">
      <c r="A121" s="3"/>
    </row>
    <row r="122" spans="1:1" s="9" customFormat="1" x14ac:dyDescent="0.2">
      <c r="A122" s="3"/>
    </row>
    <row r="123" spans="1:1" s="9" customFormat="1" x14ac:dyDescent="0.2">
      <c r="A123" s="3"/>
    </row>
    <row r="124" spans="1:1" s="9" customFormat="1" x14ac:dyDescent="0.2">
      <c r="A124" s="3"/>
    </row>
    <row r="125" spans="1:1" s="9" customFormat="1" x14ac:dyDescent="0.2">
      <c r="A125" s="3"/>
    </row>
    <row r="126" spans="1:1" s="9" customFormat="1" x14ac:dyDescent="0.2">
      <c r="A126" s="3"/>
    </row>
    <row r="127" spans="1:1" s="9" customFormat="1" x14ac:dyDescent="0.2">
      <c r="A127" s="3"/>
    </row>
    <row r="128" spans="1:1" s="9" customFormat="1" x14ac:dyDescent="0.2">
      <c r="A128" s="3"/>
    </row>
    <row r="129" spans="1:8" s="9" customFormat="1" x14ac:dyDescent="0.2">
      <c r="A129" s="3"/>
    </row>
    <row r="130" spans="1:8" s="9" customFormat="1" x14ac:dyDescent="0.2">
      <c r="A130" s="3"/>
    </row>
    <row r="131" spans="1:8" s="9" customFormat="1" x14ac:dyDescent="0.2">
      <c r="A131" s="3"/>
    </row>
    <row r="132" spans="1:8" s="9" customFormat="1" x14ac:dyDescent="0.2">
      <c r="A132" s="3"/>
    </row>
    <row r="133" spans="1:8" s="9" customFormat="1" x14ac:dyDescent="0.2">
      <c r="A133" s="3"/>
    </row>
    <row r="134" spans="1:8" x14ac:dyDescent="0.2">
      <c r="B134" s="9"/>
      <c r="C134" s="9"/>
      <c r="D134" s="9"/>
      <c r="E134" s="9"/>
      <c r="F134" s="9"/>
      <c r="G134" s="9"/>
      <c r="H134" s="9"/>
    </row>
    <row r="135" spans="1:8" x14ac:dyDescent="0.2">
      <c r="B135" s="9"/>
      <c r="C135" s="9"/>
      <c r="D135" s="9"/>
      <c r="E135" s="9"/>
      <c r="F135" s="9"/>
      <c r="G135" s="9"/>
      <c r="H135" s="9"/>
    </row>
    <row r="136" spans="1:8" x14ac:dyDescent="0.2">
      <c r="B136" s="9"/>
      <c r="C136" s="9"/>
      <c r="D136" s="9"/>
      <c r="E136" s="9"/>
      <c r="F136" s="9"/>
      <c r="G136" s="9"/>
      <c r="H136" s="9"/>
    </row>
    <row r="137" spans="1:8" x14ac:dyDescent="0.2">
      <c r="B137" s="9"/>
      <c r="C137" s="9"/>
      <c r="D137" s="9"/>
      <c r="E137" s="9"/>
      <c r="F137" s="9"/>
      <c r="G137" s="9"/>
      <c r="H137" s="9"/>
    </row>
    <row r="138" spans="1:8" x14ac:dyDescent="0.2">
      <c r="B138" s="9"/>
      <c r="D138" s="9"/>
      <c r="E138" s="9"/>
      <c r="F138" s="9"/>
      <c r="G138" s="9"/>
      <c r="H138" s="9"/>
    </row>
  </sheetData>
  <pageMargins left="0.25" right="0.25" top="0.25" bottom="0.2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49"/>
  <sheetViews>
    <sheetView topLeftCell="A6" zoomScale="90" zoomScaleNormal="90" workbookViewId="0">
      <selection activeCell="S30" sqref="S30"/>
    </sheetView>
  </sheetViews>
  <sheetFormatPr baseColWidth="10" defaultColWidth="9.1640625" defaultRowHeight="14" x14ac:dyDescent="0.2"/>
  <cols>
    <col min="1" max="1" width="2.6640625" style="3" customWidth="1"/>
    <col min="2" max="2" width="40.6640625" style="2" customWidth="1"/>
    <col min="3" max="8" width="9.6640625" style="2" customWidth="1"/>
    <col min="9" max="9" width="9.83203125" style="9" bestFit="1" customWidth="1"/>
    <col min="10" max="14" width="10" style="9" bestFit="1" customWidth="1"/>
    <col min="15" max="15" width="9.1640625" style="2"/>
    <col min="16" max="24" width="9.1640625" style="9"/>
    <col min="25" max="16384" width="9.1640625" style="2"/>
  </cols>
  <sheetData>
    <row r="1" spans="1:15" ht="16" x14ac:dyDescent="0.2">
      <c r="A1" s="18"/>
      <c r="B1" s="67" t="s">
        <v>37</v>
      </c>
      <c r="C1" s="52" t="str">
        <f>Income!C2</f>
        <v>OCT '18</v>
      </c>
      <c r="D1" s="52" t="str">
        <f>Income!D2</f>
        <v>OCT '19</v>
      </c>
      <c r="E1" s="52" t="str">
        <f>Income!E2</f>
        <v>OCT '20</v>
      </c>
      <c r="F1" s="52" t="str">
        <f>Income!F2</f>
        <v>OCT '21</v>
      </c>
      <c r="G1" s="52" t="str">
        <f>Income!G2</f>
        <v>OCT '22</v>
      </c>
      <c r="H1" s="52" t="str">
        <f>Income!H2</f>
        <v>OCT '23</v>
      </c>
      <c r="I1" s="182" t="s">
        <v>232</v>
      </c>
      <c r="J1" s="182" t="s">
        <v>233</v>
      </c>
      <c r="K1" s="182" t="s">
        <v>234</v>
      </c>
      <c r="L1" s="182" t="s">
        <v>235</v>
      </c>
      <c r="M1" s="182" t="s">
        <v>236</v>
      </c>
      <c r="N1" s="182" t="s">
        <v>237</v>
      </c>
      <c r="O1" s="9"/>
    </row>
    <row r="2" spans="1:15" ht="15" thickBot="1" x14ac:dyDescent="0.25">
      <c r="A2" s="15"/>
      <c r="B2" s="68"/>
      <c r="C2" s="175">
        <f>Income!C3</f>
        <v>0</v>
      </c>
      <c r="D2" s="175">
        <f>Income!D3</f>
        <v>0</v>
      </c>
      <c r="E2" s="175">
        <f>Income!E3</f>
        <v>0</v>
      </c>
      <c r="F2" s="175">
        <f>Income!F3</f>
        <v>0</v>
      </c>
      <c r="G2" s="175">
        <f>Income!G3</f>
        <v>0</v>
      </c>
      <c r="H2" s="175">
        <f>Income!H3</f>
        <v>0</v>
      </c>
      <c r="I2" s="179"/>
      <c r="J2" s="180"/>
      <c r="K2" s="180"/>
      <c r="L2" s="180"/>
      <c r="M2" s="180"/>
      <c r="N2" s="181"/>
      <c r="O2" s="9"/>
    </row>
    <row r="3" spans="1:15" ht="15" thickBot="1" x14ac:dyDescent="0.25">
      <c r="A3" s="15"/>
      <c r="B3" s="9"/>
      <c r="C3" s="15"/>
      <c r="D3" s="15"/>
      <c r="E3" s="15"/>
      <c r="F3" s="15"/>
      <c r="G3" s="15"/>
      <c r="H3" s="15"/>
      <c r="O3" s="9"/>
    </row>
    <row r="4" spans="1:15" x14ac:dyDescent="0.2">
      <c r="A4" s="4"/>
      <c r="B4" s="69" t="s">
        <v>8</v>
      </c>
      <c r="C4" s="70">
        <f>Balance!K15</f>
        <v>2986.1000000000004</v>
      </c>
      <c r="D4" s="70">
        <f>Balance!L15</f>
        <v>3033.16</v>
      </c>
      <c r="E4" s="70">
        <f>Balance!M15</f>
        <v>3580</v>
      </c>
      <c r="F4" s="70">
        <f>Balance!N15</f>
        <v>4838.18</v>
      </c>
      <c r="G4" s="70">
        <f>Balance!O15</f>
        <v>6563.7000000000007</v>
      </c>
      <c r="H4" s="70">
        <f>Balance!P15</f>
        <v>5721.08</v>
      </c>
      <c r="I4" s="86">
        <f>I22*I5</f>
        <v>5860.6743519999991</v>
      </c>
      <c r="J4" s="87">
        <f t="shared" ref="J4:N4" si="0">J22*J5</f>
        <v>6553.9921278415995</v>
      </c>
      <c r="K4" s="87">
        <f t="shared" si="0"/>
        <v>7131.3988343044457</v>
      </c>
      <c r="L4" s="87">
        <f t="shared" si="0"/>
        <v>7487.9687760196684</v>
      </c>
      <c r="M4" s="87">
        <f t="shared" si="0"/>
        <v>7899.8070587007487</v>
      </c>
      <c r="N4" s="88">
        <f t="shared" si="0"/>
        <v>8373.795482222793</v>
      </c>
      <c r="O4" s="9"/>
    </row>
    <row r="5" spans="1:15" x14ac:dyDescent="0.2">
      <c r="B5" s="129" t="s">
        <v>42</v>
      </c>
      <c r="C5" s="123">
        <f t="shared" ref="C5:H5" si="1">+C4/C22</f>
        <v>0.17875486381322958</v>
      </c>
      <c r="D5" s="123">
        <f t="shared" si="1"/>
        <v>0.20763691128148959</v>
      </c>
      <c r="E5" s="123">
        <f t="shared" si="1"/>
        <v>0.20813953488372092</v>
      </c>
      <c r="F5" s="123">
        <f t="shared" si="1"/>
        <v>0.20981742486664645</v>
      </c>
      <c r="G5" s="123">
        <f t="shared" si="1"/>
        <v>0.25554603854389724</v>
      </c>
      <c r="H5" s="123">
        <f t="shared" si="1"/>
        <v>0.21626521509034549</v>
      </c>
      <c r="I5" s="146">
        <f>H5</f>
        <v>0.21626521509034549</v>
      </c>
      <c r="J5" s="109">
        <f>I5</f>
        <v>0.21626521509034549</v>
      </c>
      <c r="K5" s="109">
        <f t="shared" ref="K5:N9" si="2">J5</f>
        <v>0.21626521509034549</v>
      </c>
      <c r="L5" s="109">
        <f t="shared" si="2"/>
        <v>0.21626521509034549</v>
      </c>
      <c r="M5" s="109">
        <f t="shared" si="2"/>
        <v>0.21626521509034549</v>
      </c>
      <c r="N5" s="112">
        <f t="shared" si="2"/>
        <v>0.21626521509034549</v>
      </c>
      <c r="O5" s="9"/>
    </row>
    <row r="6" spans="1:15" x14ac:dyDescent="0.2">
      <c r="A6" s="4"/>
      <c r="B6" s="49" t="s">
        <v>6</v>
      </c>
      <c r="C6" s="12">
        <f>Balance!K16</f>
        <v>1407</v>
      </c>
      <c r="D6" s="12">
        <f>Balance!L16</f>
        <v>1529</v>
      </c>
      <c r="E6" s="12">
        <f>Balance!M16</f>
        <v>1856</v>
      </c>
      <c r="F6" s="12">
        <f>Balance!N16</f>
        <v>2228</v>
      </c>
      <c r="G6" s="12">
        <f>Balance!O16</f>
        <v>2696</v>
      </c>
      <c r="H6" s="12">
        <f>Balance!P16</f>
        <v>3201</v>
      </c>
      <c r="I6" s="89">
        <f t="shared" ref="I6:N6" si="3">I22*I7</f>
        <v>3279.1043999999997</v>
      </c>
      <c r="J6" s="90">
        <f t="shared" si="3"/>
        <v>3667.0224505199999</v>
      </c>
      <c r="K6" s="90">
        <f t="shared" si="3"/>
        <v>3990.0871284108125</v>
      </c>
      <c r="L6" s="90">
        <f t="shared" si="3"/>
        <v>4189.5914848313532</v>
      </c>
      <c r="M6" s="90">
        <f t="shared" si="3"/>
        <v>4420.0190164970772</v>
      </c>
      <c r="N6" s="91">
        <f t="shared" si="3"/>
        <v>4685.2201574869023</v>
      </c>
      <c r="O6" s="9"/>
    </row>
    <row r="7" spans="1:15" x14ac:dyDescent="0.2">
      <c r="B7" s="129" t="s">
        <v>43</v>
      </c>
      <c r="C7" s="123">
        <f t="shared" ref="C7:H7" si="4">+C6/C22</f>
        <v>8.4226279557018863E-2</v>
      </c>
      <c r="D7" s="123">
        <f t="shared" si="4"/>
        <v>0.10466867469879518</v>
      </c>
      <c r="E7" s="123">
        <f t="shared" si="4"/>
        <v>0.10790697674418605</v>
      </c>
      <c r="F7" s="123">
        <f t="shared" si="4"/>
        <v>9.6621709527733204E-2</v>
      </c>
      <c r="G7" s="123">
        <f t="shared" si="4"/>
        <v>0.10496398676270197</v>
      </c>
      <c r="H7" s="123">
        <f t="shared" si="4"/>
        <v>0.121002494896802</v>
      </c>
      <c r="I7" s="146">
        <f>H7</f>
        <v>0.121002494896802</v>
      </c>
      <c r="J7" s="109">
        <f>I7</f>
        <v>0.121002494896802</v>
      </c>
      <c r="K7" s="109">
        <f t="shared" si="2"/>
        <v>0.121002494896802</v>
      </c>
      <c r="L7" s="109">
        <f t="shared" si="2"/>
        <v>0.121002494896802</v>
      </c>
      <c r="M7" s="109">
        <f t="shared" si="2"/>
        <v>0.121002494896802</v>
      </c>
      <c r="N7" s="112">
        <f t="shared" si="2"/>
        <v>0.121002494896802</v>
      </c>
      <c r="O7" s="9"/>
    </row>
    <row r="8" spans="1:15" x14ac:dyDescent="0.2">
      <c r="A8" s="4"/>
      <c r="B8" s="129" t="s">
        <v>9</v>
      </c>
      <c r="C8" s="124">
        <f>Balance!K17</f>
        <v>0</v>
      </c>
      <c r="D8" s="124">
        <f>Balance!L17</f>
        <v>0</v>
      </c>
      <c r="E8" s="124">
        <f>Balance!M17</f>
        <v>0</v>
      </c>
      <c r="F8" s="124">
        <f>Balance!N17</f>
        <v>0</v>
      </c>
      <c r="G8" s="124">
        <f>Balance!O17</f>
        <v>0</v>
      </c>
      <c r="H8" s="124">
        <f>Balance!P17</f>
        <v>0</v>
      </c>
      <c r="I8" s="363">
        <f>I22*I9</f>
        <v>0</v>
      </c>
      <c r="J8" s="361">
        <f t="shared" ref="J8:N8" si="5">J22*J9</f>
        <v>0</v>
      </c>
      <c r="K8" s="361">
        <f t="shared" si="5"/>
        <v>0</v>
      </c>
      <c r="L8" s="361">
        <f t="shared" si="5"/>
        <v>0</v>
      </c>
      <c r="M8" s="361">
        <f t="shared" si="5"/>
        <v>0</v>
      </c>
      <c r="N8" s="364">
        <f t="shared" si="5"/>
        <v>0</v>
      </c>
      <c r="O8" s="9"/>
    </row>
    <row r="9" spans="1:15" x14ac:dyDescent="0.2">
      <c r="B9" s="49" t="s">
        <v>44</v>
      </c>
      <c r="C9" s="75">
        <f t="shared" ref="C9:H9" si="6">+C8/C22</f>
        <v>0</v>
      </c>
      <c r="D9" s="75">
        <f t="shared" si="6"/>
        <v>0</v>
      </c>
      <c r="E9" s="75">
        <f t="shared" si="6"/>
        <v>0</v>
      </c>
      <c r="F9" s="75">
        <f t="shared" si="6"/>
        <v>0</v>
      </c>
      <c r="G9" s="75">
        <f t="shared" si="6"/>
        <v>0</v>
      </c>
      <c r="H9" s="75">
        <f t="shared" si="6"/>
        <v>0</v>
      </c>
      <c r="I9" s="365">
        <f>H9</f>
        <v>0</v>
      </c>
      <c r="J9" s="92">
        <f>I9</f>
        <v>0</v>
      </c>
      <c r="K9" s="92">
        <f t="shared" si="2"/>
        <v>0</v>
      </c>
      <c r="L9" s="92">
        <f t="shared" si="2"/>
        <v>0</v>
      </c>
      <c r="M9" s="92">
        <f t="shared" si="2"/>
        <v>0</v>
      </c>
      <c r="N9" s="93">
        <f t="shared" si="2"/>
        <v>0</v>
      </c>
      <c r="O9" s="9"/>
    </row>
    <row r="10" spans="1:15" x14ac:dyDescent="0.2">
      <c r="A10" s="5"/>
      <c r="B10" s="49" t="s">
        <v>170</v>
      </c>
      <c r="C10" s="12">
        <f>Balance!K18</f>
        <v>3581</v>
      </c>
      <c r="D10" s="12">
        <f>Balance!L18</f>
        <v>3555</v>
      </c>
      <c r="E10" s="12">
        <f>Balance!M18</f>
        <v>3619</v>
      </c>
      <c r="F10" s="12">
        <f>Balance!N18</f>
        <v>3583</v>
      </c>
      <c r="G10" s="12">
        <f>Balance!O18</f>
        <v>4039</v>
      </c>
      <c r="H10" s="12">
        <f>Balance!P18</f>
        <v>4026</v>
      </c>
      <c r="I10" s="89">
        <f>I22*I11</f>
        <v>4124.2343999999994</v>
      </c>
      <c r="J10" s="90">
        <f t="shared" ref="J10:N10" si="7">J22*J11</f>
        <v>4612.1313295199998</v>
      </c>
      <c r="K10" s="90">
        <f t="shared" si="7"/>
        <v>5018.4600996507124</v>
      </c>
      <c r="L10" s="90">
        <f t="shared" si="7"/>
        <v>5269.3831046332489</v>
      </c>
      <c r="M10" s="90">
        <f t="shared" si="7"/>
        <v>5559.1991753880766</v>
      </c>
      <c r="N10" s="91">
        <f t="shared" si="7"/>
        <v>5892.7511259113608</v>
      </c>
      <c r="O10" s="9"/>
    </row>
    <row r="11" spans="1:15" x14ac:dyDescent="0.2">
      <c r="A11" s="5"/>
      <c r="B11" s="129" t="s">
        <v>171</v>
      </c>
      <c r="C11" s="360">
        <f>C10/C22</f>
        <v>0.21436695600119723</v>
      </c>
      <c r="D11" s="360">
        <f t="shared" ref="D11:H11" si="8">D10/D22</f>
        <v>0.24335980284775466</v>
      </c>
      <c r="E11" s="360">
        <f t="shared" si="8"/>
        <v>0.21040697674418604</v>
      </c>
      <c r="F11" s="360">
        <f t="shared" si="8"/>
        <v>0.15538401491825318</v>
      </c>
      <c r="G11" s="360">
        <f t="shared" si="8"/>
        <v>0.157251313996496</v>
      </c>
      <c r="H11" s="360">
        <f t="shared" si="8"/>
        <v>0.15218870492175096</v>
      </c>
      <c r="I11" s="146">
        <f>H11</f>
        <v>0.15218870492175096</v>
      </c>
      <c r="J11" s="92">
        <f>I11</f>
        <v>0.15218870492175096</v>
      </c>
      <c r="K11" s="92">
        <f t="shared" ref="K11:N11" si="9">J11</f>
        <v>0.15218870492175096</v>
      </c>
      <c r="L11" s="92">
        <f t="shared" si="9"/>
        <v>0.15218870492175096</v>
      </c>
      <c r="M11" s="92">
        <f t="shared" si="9"/>
        <v>0.15218870492175096</v>
      </c>
      <c r="N11" s="93">
        <f t="shared" si="9"/>
        <v>0.15218870492175096</v>
      </c>
      <c r="O11" s="9"/>
    </row>
    <row r="12" spans="1:15" x14ac:dyDescent="0.2">
      <c r="A12" s="5"/>
      <c r="B12" s="49" t="s">
        <v>10</v>
      </c>
      <c r="C12" s="12">
        <f>Balance!K19</f>
        <v>-1120</v>
      </c>
      <c r="D12" s="12">
        <f>Balance!L19</f>
        <v>-1162</v>
      </c>
      <c r="E12" s="12">
        <f>Balance!M19</f>
        <v>-1172</v>
      </c>
      <c r="F12" s="12">
        <f>Balance!N19</f>
        <v>-1132</v>
      </c>
      <c r="G12" s="12">
        <f>Balance!O19</f>
        <v>-611</v>
      </c>
      <c r="H12" s="12">
        <f>Balance!P19</f>
        <v>-824</v>
      </c>
      <c r="I12" s="89">
        <f>I22*I13</f>
        <v>-844.10559999999998</v>
      </c>
      <c r="J12" s="90">
        <f t="shared" ref="J12:N12" si="10">J22*J13</f>
        <v>-943.96329247999995</v>
      </c>
      <c r="K12" s="90">
        <f t="shared" si="10"/>
        <v>-1027.1264585474883</v>
      </c>
      <c r="L12" s="90">
        <f t="shared" si="10"/>
        <v>-1078.4827814748626</v>
      </c>
      <c r="M12" s="90">
        <f t="shared" si="10"/>
        <v>-1137.79933445598</v>
      </c>
      <c r="N12" s="91">
        <f t="shared" si="10"/>
        <v>-1206.0672945233387</v>
      </c>
      <c r="O12" s="9"/>
    </row>
    <row r="13" spans="1:15" x14ac:dyDescent="0.2">
      <c r="B13" s="129" t="s">
        <v>171</v>
      </c>
      <c r="C13" s="123">
        <f>C12/C22</f>
        <v>-6.7045794672253814E-2</v>
      </c>
      <c r="D13" s="123">
        <f t="shared" ref="D13:H13" si="11">D12/D22</f>
        <v>-7.9545454545454544E-2</v>
      </c>
      <c r="E13" s="123">
        <f t="shared" si="11"/>
        <v>-6.8139534883720931E-2</v>
      </c>
      <c r="F13" s="123">
        <f t="shared" si="11"/>
        <v>-4.909146103473698E-2</v>
      </c>
      <c r="G13" s="123">
        <f t="shared" si="11"/>
        <v>-2.3788203231458048E-2</v>
      </c>
      <c r="H13" s="123">
        <f t="shared" si="11"/>
        <v>-3.1148408558252062E-2</v>
      </c>
      <c r="I13" s="146">
        <f>H13</f>
        <v>-3.1148408558252062E-2</v>
      </c>
      <c r="J13" s="109">
        <f>I13</f>
        <v>-3.1148408558252062E-2</v>
      </c>
      <c r="K13" s="109">
        <f t="shared" ref="K13:N13" si="12">J13</f>
        <v>-3.1148408558252062E-2</v>
      </c>
      <c r="L13" s="109">
        <f t="shared" si="12"/>
        <v>-3.1148408558252062E-2</v>
      </c>
      <c r="M13" s="109">
        <f t="shared" si="12"/>
        <v>-3.1148408558252062E-2</v>
      </c>
      <c r="N13" s="112">
        <f t="shared" si="12"/>
        <v>-3.1148408558252062E-2</v>
      </c>
      <c r="O13" s="9"/>
    </row>
    <row r="14" spans="1:15" ht="15" thickBot="1" x14ac:dyDescent="0.25">
      <c r="A14" s="5"/>
      <c r="B14" s="50" t="s">
        <v>45</v>
      </c>
      <c r="C14" s="122">
        <f t="shared" ref="C14:N14" si="13">C4+C6+C8+C10+C12</f>
        <v>6854.1</v>
      </c>
      <c r="D14" s="122">
        <f t="shared" si="13"/>
        <v>6955.16</v>
      </c>
      <c r="E14" s="122">
        <f t="shared" si="13"/>
        <v>7883</v>
      </c>
      <c r="F14" s="122">
        <f t="shared" si="13"/>
        <v>9517.18</v>
      </c>
      <c r="G14" s="122">
        <f t="shared" si="13"/>
        <v>12687.7</v>
      </c>
      <c r="H14" s="122">
        <f t="shared" si="13"/>
        <v>12124.08</v>
      </c>
      <c r="I14" s="450">
        <f t="shared" si="13"/>
        <v>12419.907551999997</v>
      </c>
      <c r="J14" s="451">
        <f t="shared" si="13"/>
        <v>13889.182615401598</v>
      </c>
      <c r="K14" s="451">
        <f t="shared" si="13"/>
        <v>15112.819603818483</v>
      </c>
      <c r="L14" s="451">
        <f t="shared" si="13"/>
        <v>15868.46058400941</v>
      </c>
      <c r="M14" s="451">
        <f t="shared" si="13"/>
        <v>16741.225916129923</v>
      </c>
      <c r="N14" s="452">
        <f t="shared" si="13"/>
        <v>17745.699471097716</v>
      </c>
    </row>
    <row r="15" spans="1:15" ht="15" thickBot="1" x14ac:dyDescent="0.25">
      <c r="A15" s="5"/>
      <c r="B15" s="9"/>
      <c r="C15" s="12"/>
      <c r="D15" s="12"/>
      <c r="E15" s="12"/>
      <c r="F15" s="12"/>
      <c r="G15" s="12"/>
      <c r="H15" s="12"/>
      <c r="O15" s="9"/>
    </row>
    <row r="16" spans="1:15" ht="15" thickBot="1" x14ac:dyDescent="0.25">
      <c r="A16" s="13"/>
      <c r="B16" s="79" t="s">
        <v>15</v>
      </c>
      <c r="C16" s="101"/>
      <c r="D16" s="101">
        <f>+D14-C14</f>
        <v>101.05999999999949</v>
      </c>
      <c r="E16" s="101">
        <f>+E14-D14</f>
        <v>927.84000000000015</v>
      </c>
      <c r="F16" s="101">
        <f>+F14-E14</f>
        <v>1634.1800000000003</v>
      </c>
      <c r="G16" s="101">
        <f>G14-F14</f>
        <v>3170.5200000000004</v>
      </c>
      <c r="H16" s="102">
        <f>H14-G14</f>
        <v>-563.6200000000008</v>
      </c>
      <c r="I16" s="94">
        <f>I14-H14</f>
        <v>295.82755199999701</v>
      </c>
      <c r="J16" s="95">
        <f t="shared" ref="J16:N16" si="14">J14-I14</f>
        <v>1469.2750634016011</v>
      </c>
      <c r="K16" s="95">
        <f t="shared" si="14"/>
        <v>1223.6369884168853</v>
      </c>
      <c r="L16" s="95">
        <f t="shared" si="14"/>
        <v>755.64098019092671</v>
      </c>
      <c r="M16" s="95">
        <f t="shared" si="14"/>
        <v>872.76533212051254</v>
      </c>
      <c r="N16" s="96">
        <f t="shared" si="14"/>
        <v>1004.4735549677935</v>
      </c>
      <c r="O16" s="9"/>
    </row>
    <row r="17" spans="1:26" x14ac:dyDescent="0.2">
      <c r="A17" s="13"/>
      <c r="B17" s="26" t="s">
        <v>46</v>
      </c>
      <c r="C17" s="103"/>
      <c r="D17" s="103">
        <f>+D16/D41</f>
        <v>3.6443628862340004E-2</v>
      </c>
      <c r="E17" s="103">
        <f>+E16/E41</f>
        <v>0.24525372626738143</v>
      </c>
      <c r="F17" s="103">
        <f>+F16/F41</f>
        <v>0.26107967368275614</v>
      </c>
      <c r="G17" s="103">
        <f>+G16/G41</f>
        <v>0.47977914545845585</v>
      </c>
      <c r="H17" s="104">
        <f>+H16/H41</f>
        <v>-8.365015493263131E-2</v>
      </c>
      <c r="O17" s="9"/>
    </row>
    <row r="18" spans="1:26" x14ac:dyDescent="0.2">
      <c r="A18" s="5"/>
      <c r="B18" s="21" t="s">
        <v>39</v>
      </c>
      <c r="C18" s="12">
        <f>Balance!K32-Balance!K25</f>
        <v>222.10000000000036</v>
      </c>
      <c r="D18" s="12">
        <f>Balance!L32-Balance!L25</f>
        <v>496.15999999999985</v>
      </c>
      <c r="E18" s="12">
        <f>Balance!M32-Balance!M25</f>
        <v>-984</v>
      </c>
      <c r="F18" s="12">
        <f>Balance!N32-Balance!N25</f>
        <v>-1106.8199999999997</v>
      </c>
      <c r="G18" s="12">
        <f>Balance!O32-Balance!O25</f>
        <v>1888.6999999999998</v>
      </c>
      <c r="H18" s="71">
        <f>Balance!P32-Balance!P25</f>
        <v>-2495.92</v>
      </c>
      <c r="O18" s="9"/>
    </row>
    <row r="19" spans="1:26" x14ac:dyDescent="0.2">
      <c r="A19" s="5"/>
      <c r="B19" s="49" t="s">
        <v>38</v>
      </c>
      <c r="C19" s="6">
        <f>Balance!K36</f>
        <v>6632</v>
      </c>
      <c r="D19" s="6">
        <f>Balance!L36</f>
        <v>6459</v>
      </c>
      <c r="E19" s="6">
        <f>Balance!M36</f>
        <v>8867</v>
      </c>
      <c r="F19" s="6">
        <f>Balance!N36</f>
        <v>10624</v>
      </c>
      <c r="G19" s="6">
        <f>Balance!O36</f>
        <v>10799</v>
      </c>
      <c r="H19" s="32">
        <f>Balance!P36</f>
        <v>14620</v>
      </c>
      <c r="O19" s="9"/>
    </row>
    <row r="20" spans="1:26" ht="15" thickBot="1" x14ac:dyDescent="0.25">
      <c r="A20" s="4"/>
      <c r="B20" s="22" t="s">
        <v>40</v>
      </c>
      <c r="C20" s="72">
        <f>SUM(C18:C19)</f>
        <v>6854.1</v>
      </c>
      <c r="D20" s="72">
        <f t="shared" ref="D20:H20" si="15">SUM(D18:D19)</f>
        <v>6955.16</v>
      </c>
      <c r="E20" s="72">
        <f t="shared" si="15"/>
        <v>7883</v>
      </c>
      <c r="F20" s="72">
        <f t="shared" si="15"/>
        <v>9517.18</v>
      </c>
      <c r="G20" s="72">
        <f t="shared" si="15"/>
        <v>12687.7</v>
      </c>
      <c r="H20" s="73">
        <f t="shared" si="15"/>
        <v>12124.08</v>
      </c>
      <c r="O20" s="9"/>
    </row>
    <row r="21" spans="1:26" ht="15" thickBot="1" x14ac:dyDescent="0.25">
      <c r="A21" s="4"/>
      <c r="B21" s="9"/>
      <c r="C21" s="10"/>
      <c r="D21" s="10"/>
      <c r="E21" s="10"/>
      <c r="F21" s="11"/>
      <c r="G21" s="11"/>
      <c r="H21" s="11"/>
      <c r="O21" s="9"/>
    </row>
    <row r="22" spans="1:26" ht="15" x14ac:dyDescent="0.2">
      <c r="A22" s="13"/>
      <c r="B22" s="131" t="s">
        <v>13</v>
      </c>
      <c r="C22" s="132">
        <f>Income!L7</f>
        <v>16705</v>
      </c>
      <c r="D22" s="132">
        <f>Income!M7</f>
        <v>14608</v>
      </c>
      <c r="E22" s="132">
        <f>Income!N7</f>
        <v>17200</v>
      </c>
      <c r="F22" s="132">
        <f>Income!O7</f>
        <v>23059</v>
      </c>
      <c r="G22" s="132">
        <f>Income!P7</f>
        <v>25685</v>
      </c>
      <c r="H22" s="132">
        <f>Income!Q7</f>
        <v>26454</v>
      </c>
      <c r="I22" s="369">
        <f>H22*(1+I23)</f>
        <v>27099.477599999998</v>
      </c>
      <c r="J22" s="370">
        <f t="shared" ref="J22:N22" si="16">I22*(1+J23)</f>
        <v>30305.345800079998</v>
      </c>
      <c r="K22" s="127">
        <f t="shared" si="16"/>
        <v>32975.246765067051</v>
      </c>
      <c r="L22" s="127">
        <f t="shared" si="16"/>
        <v>34624.009103320408</v>
      </c>
      <c r="M22" s="127">
        <f t="shared" si="16"/>
        <v>36528.329604003025</v>
      </c>
      <c r="N22" s="128">
        <f t="shared" si="16"/>
        <v>38720.029380243206</v>
      </c>
      <c r="O22"/>
      <c r="P22"/>
      <c r="Q22"/>
      <c r="R22"/>
      <c r="S22"/>
      <c r="T22"/>
      <c r="U22"/>
      <c r="V22"/>
      <c r="W22"/>
      <c r="X22"/>
      <c r="Y22"/>
      <c r="Z22"/>
    </row>
    <row r="23" spans="1:26" ht="15" x14ac:dyDescent="0.2">
      <c r="A23" s="13"/>
      <c r="B23" s="130" t="s">
        <v>48</v>
      </c>
      <c r="C23" s="115"/>
      <c r="D23" s="115">
        <f>(D22/C22)-1</f>
        <v>-0.12553127806046094</v>
      </c>
      <c r="E23" s="115">
        <f>(E22/D22)-1</f>
        <v>0.17743702081051471</v>
      </c>
      <c r="F23" s="115">
        <f>(F22/E22)-1</f>
        <v>0.34063953488372101</v>
      </c>
      <c r="G23" s="115">
        <f>(G22/F22)-1</f>
        <v>0.11388178151697814</v>
      </c>
      <c r="H23" s="115">
        <f>(H22/G22)-1</f>
        <v>2.9939653494257312E-2</v>
      </c>
      <c r="I23" s="115">
        <v>2.4400000000000002E-2</v>
      </c>
      <c r="J23" s="409">
        <v>0.1183</v>
      </c>
      <c r="K23" s="409">
        <v>8.8099999999999998E-2</v>
      </c>
      <c r="L23" s="409">
        <v>0.05</v>
      </c>
      <c r="M23" s="409">
        <f>L23+0.005</f>
        <v>5.5E-2</v>
      </c>
      <c r="N23" s="409">
        <f>M23+0.005</f>
        <v>0.06</v>
      </c>
      <c r="O23"/>
      <c r="P23"/>
      <c r="Q23"/>
      <c r="R23"/>
      <c r="S23"/>
      <c r="T23"/>
      <c r="U23"/>
      <c r="V23"/>
      <c r="W23"/>
      <c r="X23"/>
      <c r="Y23"/>
      <c r="Z23"/>
    </row>
    <row r="24" spans="1:26" ht="15" x14ac:dyDescent="0.2">
      <c r="B24" s="55" t="s">
        <v>49</v>
      </c>
      <c r="C24" s="105">
        <f t="shared" ref="C24:H24" si="17">+C22/C14</f>
        <v>2.4372273529712141</v>
      </c>
      <c r="D24" s="105">
        <f t="shared" si="17"/>
        <v>2.1003111359048536</v>
      </c>
      <c r="E24" s="105">
        <f t="shared" si="17"/>
        <v>2.1819104401877456</v>
      </c>
      <c r="F24" s="105">
        <f t="shared" si="17"/>
        <v>2.4228815678593869</v>
      </c>
      <c r="G24" s="105">
        <f t="shared" si="17"/>
        <v>2.0244015857878099</v>
      </c>
      <c r="H24" s="105">
        <f t="shared" si="17"/>
        <v>2.1819387532909715</v>
      </c>
      <c r="I24" s="371">
        <f>I22/I14</f>
        <v>2.181938753290972</v>
      </c>
      <c r="J24" s="367">
        <f t="shared" ref="J24:N24" si="18">J22/J14</f>
        <v>2.1819387532909715</v>
      </c>
      <c r="K24" s="367">
        <f t="shared" si="18"/>
        <v>2.1819387532909711</v>
      </c>
      <c r="L24" s="367">
        <f t="shared" si="18"/>
        <v>2.1819387532909711</v>
      </c>
      <c r="M24" s="367">
        <f t="shared" si="18"/>
        <v>2.1819387532909715</v>
      </c>
      <c r="N24" s="372">
        <f t="shared" si="18"/>
        <v>2.1819387532909715</v>
      </c>
      <c r="O24"/>
      <c r="P24"/>
      <c r="Q24"/>
      <c r="R24"/>
      <c r="S24"/>
      <c r="T24"/>
      <c r="U24"/>
      <c r="V24"/>
      <c r="W24"/>
      <c r="X24"/>
      <c r="Y24"/>
      <c r="Z24"/>
    </row>
    <row r="25" spans="1:26" ht="15" x14ac:dyDescent="0.2">
      <c r="A25" s="13"/>
      <c r="B25" s="49" t="s">
        <v>16</v>
      </c>
      <c r="C25" s="12">
        <f>Income!L8</f>
        <v>-8773</v>
      </c>
      <c r="D25" s="12">
        <f>Income!M8</f>
        <v>-7895</v>
      </c>
      <c r="E25" s="12">
        <f>Income!N8</f>
        <v>-9156</v>
      </c>
      <c r="F25" s="12">
        <f>Income!O8</f>
        <v>-11775</v>
      </c>
      <c r="G25" s="12">
        <f>Income!P8</f>
        <v>-13349</v>
      </c>
      <c r="H25" s="12">
        <f>Income!Q8</f>
        <v>-13618</v>
      </c>
      <c r="I25" s="89">
        <f>-I26*I22</f>
        <v>-13820.733575999999</v>
      </c>
      <c r="J25" s="89">
        <f t="shared" ref="J25" si="19">-J26*J22</f>
        <v>-15455.7263580408</v>
      </c>
      <c r="K25" s="89">
        <f>(-K26*K22)*0.98</f>
        <v>-16481.028333180511</v>
      </c>
      <c r="L25" s="89">
        <f>(-L26*L22)*0.95</f>
        <v>-16775.332410558738</v>
      </c>
      <c r="M25" s="89">
        <f>(-M26*M22)*0.9</f>
        <v>-16766.503288237389</v>
      </c>
      <c r="N25" s="89">
        <f>(-N26*N22)*0.9</f>
        <v>-17772.493485531631</v>
      </c>
      <c r="O25"/>
      <c r="P25"/>
      <c r="Q25"/>
      <c r="R25"/>
      <c r="S25"/>
      <c r="T25"/>
      <c r="U25"/>
      <c r="V25"/>
      <c r="W25"/>
      <c r="X25"/>
      <c r="Y25"/>
      <c r="Z25"/>
    </row>
    <row r="26" spans="1:26" ht="15" x14ac:dyDescent="0.2">
      <c r="B26" s="130" t="s">
        <v>50</v>
      </c>
      <c r="C26" s="115">
        <f>-C25/C22</f>
        <v>0.52517210416043103</v>
      </c>
      <c r="D26" s="115">
        <f t="shared" ref="D26:H26" si="20">-D25/D22</f>
        <v>0.5404572836801752</v>
      </c>
      <c r="E26" s="115">
        <f t="shared" si="20"/>
        <v>0.5323255813953488</v>
      </c>
      <c r="F26" s="115">
        <f t="shared" si="20"/>
        <v>0.51064660219437097</v>
      </c>
      <c r="G26" s="115">
        <f>-G25/G22</f>
        <v>0.51971968074751795</v>
      </c>
      <c r="H26" s="115">
        <f t="shared" si="20"/>
        <v>0.51478037347849093</v>
      </c>
      <c r="I26" s="146">
        <v>0.51</v>
      </c>
      <c r="J26" s="368">
        <f>I26</f>
        <v>0.51</v>
      </c>
      <c r="K26" s="368">
        <f t="shared" ref="K26:N26" si="21">J26</f>
        <v>0.51</v>
      </c>
      <c r="L26" s="368">
        <f t="shared" si="21"/>
        <v>0.51</v>
      </c>
      <c r="M26" s="368">
        <f t="shared" si="21"/>
        <v>0.51</v>
      </c>
      <c r="N26" s="373">
        <f t="shared" si="21"/>
        <v>0.51</v>
      </c>
      <c r="O26"/>
      <c r="P26"/>
      <c r="Q26"/>
      <c r="R26"/>
      <c r="S26"/>
      <c r="T26"/>
      <c r="U26"/>
      <c r="V26"/>
      <c r="W26"/>
      <c r="X26"/>
      <c r="Y26"/>
      <c r="Z26"/>
    </row>
    <row r="27" spans="1:26" ht="15" x14ac:dyDescent="0.2">
      <c r="B27" s="49" t="s">
        <v>17</v>
      </c>
      <c r="C27" s="12">
        <f>Income!L9</f>
        <v>-971</v>
      </c>
      <c r="D27" s="12">
        <f>Income!M9</f>
        <v>-947</v>
      </c>
      <c r="E27" s="12">
        <f>Income!N9</f>
        <v>-1076</v>
      </c>
      <c r="F27" s="12">
        <f>Income!O9</f>
        <v>-1211</v>
      </c>
      <c r="G27" s="12">
        <f>Income!P9</f>
        <v>-1419</v>
      </c>
      <c r="H27" s="12">
        <f>Income!Q9</f>
        <v>-1622</v>
      </c>
      <c r="I27" s="89">
        <f>-I28*I22</f>
        <v>-1707.2670888</v>
      </c>
      <c r="J27" s="90">
        <v>-1806.23</v>
      </c>
      <c r="K27" s="90">
        <v>-1881.24</v>
      </c>
      <c r="L27" s="90">
        <f t="shared" ref="L27:N27" si="22">-L28*L$22</f>
        <v>-2181.3125735091858</v>
      </c>
      <c r="M27" s="90">
        <f t="shared" si="22"/>
        <v>-2301.2847650521908</v>
      </c>
      <c r="N27" s="91">
        <f t="shared" si="22"/>
        <v>-2439.3618509553221</v>
      </c>
      <c r="O27"/>
      <c r="P27"/>
      <c r="Q27"/>
      <c r="R27"/>
      <c r="S27"/>
      <c r="T27"/>
      <c r="U27"/>
      <c r="V27"/>
      <c r="W27"/>
      <c r="X27"/>
      <c r="Y27"/>
      <c r="Z27"/>
    </row>
    <row r="28" spans="1:26" ht="15" x14ac:dyDescent="0.2">
      <c r="A28" s="5"/>
      <c r="B28" s="130" t="s">
        <v>51</v>
      </c>
      <c r="C28" s="115">
        <f>-C27/C22</f>
        <v>5.8126309488177194E-2</v>
      </c>
      <c r="D28" s="115">
        <f t="shared" ref="D28:H28" si="23">-D27/D22</f>
        <v>6.4827491785323113E-2</v>
      </c>
      <c r="E28" s="115">
        <f t="shared" si="23"/>
        <v>6.2558139534883719E-2</v>
      </c>
      <c r="F28" s="115">
        <f t="shared" si="23"/>
        <v>5.2517455223556962E-2</v>
      </c>
      <c r="G28" s="115">
        <f t="shared" si="23"/>
        <v>5.524625267665953E-2</v>
      </c>
      <c r="H28" s="115">
        <f t="shared" si="23"/>
        <v>6.1313978982384519E-2</v>
      </c>
      <c r="I28" s="362">
        <v>6.3E-2</v>
      </c>
      <c r="J28" s="109">
        <f>I28</f>
        <v>6.3E-2</v>
      </c>
      <c r="K28" s="109">
        <f t="shared" ref="K28:N28" si="24">J28</f>
        <v>6.3E-2</v>
      </c>
      <c r="L28" s="109">
        <f t="shared" si="24"/>
        <v>6.3E-2</v>
      </c>
      <c r="M28" s="109">
        <f t="shared" si="24"/>
        <v>6.3E-2</v>
      </c>
      <c r="N28" s="112">
        <f t="shared" si="24"/>
        <v>6.3E-2</v>
      </c>
      <c r="O28"/>
      <c r="P28"/>
      <c r="Q28"/>
      <c r="R28"/>
      <c r="S28"/>
      <c r="T28"/>
      <c r="U28"/>
      <c r="V28"/>
      <c r="W28"/>
      <c r="X28"/>
      <c r="Y28"/>
      <c r="Z28"/>
    </row>
    <row r="29" spans="1:26" x14ac:dyDescent="0.2">
      <c r="A29" s="15"/>
      <c r="B29" s="49" t="s">
        <v>18</v>
      </c>
      <c r="C29" s="12">
        <f>Income!L10</f>
        <v>-2021</v>
      </c>
      <c r="D29" s="12">
        <f>Income!M10</f>
        <v>-2053</v>
      </c>
      <c r="E29" s="12">
        <f>Income!N10</f>
        <v>-2237</v>
      </c>
      <c r="F29" s="12">
        <f>Income!O10</f>
        <v>-2481</v>
      </c>
      <c r="G29" s="12">
        <f>Income!P10</f>
        <v>-2777</v>
      </c>
      <c r="H29" s="12">
        <f>Income!Q10</f>
        <v>-3116</v>
      </c>
      <c r="I29" s="89">
        <f>-I30*I$22</f>
        <v>-3197.7383567999996</v>
      </c>
      <c r="J29" s="90">
        <f>-J30*J$22</f>
        <v>-3576.0308044094395</v>
      </c>
      <c r="K29" s="90">
        <f t="shared" ref="K29:N29" si="25">-K30*K$22</f>
        <v>-3891.0791182779117</v>
      </c>
      <c r="L29" s="90">
        <f t="shared" si="25"/>
        <v>-4085.6330741918077</v>
      </c>
      <c r="M29" s="90">
        <f t="shared" si="25"/>
        <v>-4310.3428932723564</v>
      </c>
      <c r="N29" s="91">
        <f t="shared" si="25"/>
        <v>-4568.9634668686977</v>
      </c>
      <c r="O29" s="9"/>
    </row>
    <row r="30" spans="1:26" x14ac:dyDescent="0.2">
      <c r="B30" s="130" t="s">
        <v>52</v>
      </c>
      <c r="C30" s="115">
        <f>-C29/C22</f>
        <v>0.12098174199341515</v>
      </c>
      <c r="D30" s="115">
        <f t="shared" ref="D30:H30" si="26">-D29/D22</f>
        <v>0.140539430449069</v>
      </c>
      <c r="E30" s="115">
        <f t="shared" si="26"/>
        <v>0.13005813953488371</v>
      </c>
      <c r="F30" s="115">
        <f t="shared" si="26"/>
        <v>0.10759356433496682</v>
      </c>
      <c r="G30" s="115">
        <f t="shared" si="26"/>
        <v>0.1081175783531244</v>
      </c>
      <c r="H30" s="115">
        <f t="shared" si="26"/>
        <v>0.11778937022756483</v>
      </c>
      <c r="I30" s="362">
        <v>0.11799999999999999</v>
      </c>
      <c r="J30" s="109">
        <f>I30</f>
        <v>0.11799999999999999</v>
      </c>
      <c r="K30" s="109">
        <f t="shared" ref="K30:N30" si="27">J30</f>
        <v>0.11799999999999999</v>
      </c>
      <c r="L30" s="109">
        <f t="shared" si="27"/>
        <v>0.11799999999999999</v>
      </c>
      <c r="M30" s="109">
        <f t="shared" si="27"/>
        <v>0.11799999999999999</v>
      </c>
      <c r="N30" s="112">
        <f t="shared" si="27"/>
        <v>0.11799999999999999</v>
      </c>
      <c r="O30" s="9"/>
    </row>
    <row r="31" spans="1:26" x14ac:dyDescent="0.2">
      <c r="A31" s="4"/>
      <c r="B31" s="49" t="s">
        <v>19</v>
      </c>
      <c r="C31" s="12">
        <f>Income!L11</f>
        <v>-457</v>
      </c>
      <c r="D31" s="12">
        <f>Income!M11</f>
        <v>-363</v>
      </c>
      <c r="E31" s="12">
        <f>Income!N11</f>
        <v>-376</v>
      </c>
      <c r="F31" s="12">
        <f>Income!O11</f>
        <v>-394</v>
      </c>
      <c r="G31" s="12">
        <f>Income!P11</f>
        <v>-444</v>
      </c>
      <c r="H31" s="12">
        <f>Income!Q11</f>
        <v>-515</v>
      </c>
      <c r="I31" s="89">
        <f>-I32*I22</f>
        <v>-379.3926864</v>
      </c>
      <c r="J31" s="89">
        <f t="shared" ref="J31:N31" si="28">-J32*J22</f>
        <v>-378.81682250099999</v>
      </c>
      <c r="K31" s="89">
        <f t="shared" si="28"/>
        <v>-412.19058456333818</v>
      </c>
      <c r="L31" s="89">
        <f t="shared" si="28"/>
        <v>-432.80011379150511</v>
      </c>
      <c r="M31" s="89">
        <f t="shared" si="28"/>
        <v>-456.60412005003786</v>
      </c>
      <c r="N31" s="89">
        <f t="shared" si="28"/>
        <v>-484.00036725304011</v>
      </c>
      <c r="O31" s="9"/>
    </row>
    <row r="32" spans="1:26" x14ac:dyDescent="0.2">
      <c r="B32" s="130" t="s">
        <v>53</v>
      </c>
      <c r="C32" s="115">
        <f>-C31/C22</f>
        <v>2.7357078718946423E-2</v>
      </c>
      <c r="D32" s="115">
        <f t="shared" ref="D32:H32" si="29">-D31/D22</f>
        <v>2.4849397590361446E-2</v>
      </c>
      <c r="E32" s="115">
        <f t="shared" si="29"/>
        <v>2.1860465116279069E-2</v>
      </c>
      <c r="F32" s="115">
        <f t="shared" si="29"/>
        <v>1.7086603929051564E-2</v>
      </c>
      <c r="G32" s="115">
        <f t="shared" si="29"/>
        <v>1.7286353903056259E-2</v>
      </c>
      <c r="H32" s="115">
        <f t="shared" si="29"/>
        <v>1.9467755348907538E-2</v>
      </c>
      <c r="I32" s="146">
        <v>1.4E-2</v>
      </c>
      <c r="J32" s="109">
        <f>I32-0.0015</f>
        <v>1.2500000000000001E-2</v>
      </c>
      <c r="K32" s="109">
        <f t="shared" ref="K32:N32" si="30">J32</f>
        <v>1.2500000000000001E-2</v>
      </c>
      <c r="L32" s="109">
        <f t="shared" si="30"/>
        <v>1.2500000000000001E-2</v>
      </c>
      <c r="M32" s="109">
        <f t="shared" si="30"/>
        <v>1.2500000000000001E-2</v>
      </c>
      <c r="N32" s="112">
        <f t="shared" si="30"/>
        <v>1.2500000000000001E-2</v>
      </c>
      <c r="O32" s="9"/>
    </row>
    <row r="33" spans="1:15" x14ac:dyDescent="0.2">
      <c r="B33" s="129" t="s">
        <v>59</v>
      </c>
      <c r="C33" s="115">
        <f>Balance!K40</f>
        <v>0</v>
      </c>
      <c r="D33" s="115">
        <f>Balance!L40</f>
        <v>0</v>
      </c>
      <c r="E33" s="115">
        <f>Balance!M40</f>
        <v>0</v>
      </c>
      <c r="F33" s="115">
        <f>Balance!N40</f>
        <v>0</v>
      </c>
      <c r="G33" s="115">
        <f>Balance!O40</f>
        <v>0</v>
      </c>
      <c r="H33" s="115">
        <f>Balance!P40</f>
        <v>0</v>
      </c>
      <c r="I33" s="146">
        <f>H33</f>
        <v>0</v>
      </c>
      <c r="J33" s="109">
        <f>I33</f>
        <v>0</v>
      </c>
      <c r="K33" s="109">
        <f t="shared" ref="K33:N33" si="31">J33</f>
        <v>0</v>
      </c>
      <c r="L33" s="109">
        <f t="shared" si="31"/>
        <v>0</v>
      </c>
      <c r="M33" s="109">
        <f t="shared" si="31"/>
        <v>0</v>
      </c>
      <c r="N33" s="112">
        <f t="shared" si="31"/>
        <v>0</v>
      </c>
      <c r="O33" s="9"/>
    </row>
    <row r="34" spans="1:15" x14ac:dyDescent="0.2">
      <c r="A34" s="4"/>
      <c r="B34" s="49" t="s">
        <v>20</v>
      </c>
      <c r="C34" s="12">
        <f t="shared" ref="C34:N34" si="32">C33*C8</f>
        <v>0</v>
      </c>
      <c r="D34" s="12">
        <f t="shared" si="32"/>
        <v>0</v>
      </c>
      <c r="E34" s="12">
        <f t="shared" si="32"/>
        <v>0</v>
      </c>
      <c r="F34" s="12">
        <f t="shared" si="32"/>
        <v>0</v>
      </c>
      <c r="G34" s="12">
        <f t="shared" si="32"/>
        <v>0</v>
      </c>
      <c r="H34" s="12">
        <f t="shared" si="32"/>
        <v>0</v>
      </c>
      <c r="I34" s="366">
        <f t="shared" si="32"/>
        <v>0</v>
      </c>
      <c r="J34" s="12">
        <f t="shared" si="32"/>
        <v>0</v>
      </c>
      <c r="K34" s="12">
        <f t="shared" si="32"/>
        <v>0</v>
      </c>
      <c r="L34" s="12">
        <f t="shared" si="32"/>
        <v>0</v>
      </c>
      <c r="M34" s="12">
        <f t="shared" si="32"/>
        <v>0</v>
      </c>
      <c r="N34" s="71">
        <f t="shared" si="32"/>
        <v>0</v>
      </c>
      <c r="O34" s="9"/>
    </row>
    <row r="35" spans="1:15" x14ac:dyDescent="0.2">
      <c r="B35" s="49" t="s">
        <v>54</v>
      </c>
      <c r="C35" s="75">
        <f>C34/C22</f>
        <v>0</v>
      </c>
      <c r="D35" s="75">
        <f t="shared" ref="D35:N35" si="33">D34/D22</f>
        <v>0</v>
      </c>
      <c r="E35" s="75">
        <f t="shared" si="33"/>
        <v>0</v>
      </c>
      <c r="F35" s="75">
        <f t="shared" si="33"/>
        <v>0</v>
      </c>
      <c r="G35" s="75">
        <f t="shared" si="33"/>
        <v>0</v>
      </c>
      <c r="H35" s="75">
        <f t="shared" si="33"/>
        <v>0</v>
      </c>
      <c r="I35" s="110">
        <f t="shared" si="33"/>
        <v>0</v>
      </c>
      <c r="J35" s="75">
        <f t="shared" si="33"/>
        <v>0</v>
      </c>
      <c r="K35" s="75">
        <f t="shared" si="33"/>
        <v>0</v>
      </c>
      <c r="L35" s="75">
        <f t="shared" si="33"/>
        <v>0</v>
      </c>
      <c r="M35" s="75">
        <f t="shared" si="33"/>
        <v>0</v>
      </c>
      <c r="N35" s="85">
        <f t="shared" si="33"/>
        <v>0</v>
      </c>
      <c r="O35" s="9"/>
    </row>
    <row r="36" spans="1:15" ht="17" x14ac:dyDescent="0.35">
      <c r="A36" s="183"/>
      <c r="B36" s="49" t="s">
        <v>58</v>
      </c>
      <c r="C36" s="12">
        <f>C22+C25+C27+C29+C31+C34</f>
        <v>4483</v>
      </c>
      <c r="D36" s="12">
        <f t="shared" ref="D36:N36" si="34">D22+D25+D27+D29+D31+D34</f>
        <v>3350</v>
      </c>
      <c r="E36" s="12">
        <f t="shared" si="34"/>
        <v>4355</v>
      </c>
      <c r="F36" s="12">
        <f t="shared" si="34"/>
        <v>7198</v>
      </c>
      <c r="G36" s="12">
        <f t="shared" si="34"/>
        <v>7696</v>
      </c>
      <c r="H36" s="12">
        <f t="shared" si="34"/>
        <v>7583</v>
      </c>
      <c r="I36" s="366">
        <f>I22+I25+I27+I29+I31+I34</f>
        <v>7994.3458919999994</v>
      </c>
      <c r="J36" s="12">
        <f t="shared" si="34"/>
        <v>9088.5418151287595</v>
      </c>
      <c r="K36" s="12">
        <f t="shared" si="34"/>
        <v>10309.708729045291</v>
      </c>
      <c r="L36" s="12">
        <f t="shared" si="34"/>
        <v>11148.930931269171</v>
      </c>
      <c r="M36" s="12">
        <f t="shared" si="34"/>
        <v>12693.594537391051</v>
      </c>
      <c r="N36" s="71">
        <f t="shared" si="34"/>
        <v>13455.210209634513</v>
      </c>
      <c r="O36" s="9"/>
    </row>
    <row r="37" spans="1:15" x14ac:dyDescent="0.2">
      <c r="A37" s="1"/>
      <c r="B37" s="133" t="s">
        <v>55</v>
      </c>
      <c r="C37" s="117">
        <f t="shared" ref="C37:N37" si="35">+C36/C22</f>
        <v>0.26836276563903022</v>
      </c>
      <c r="D37" s="117">
        <f t="shared" si="35"/>
        <v>0.22932639649507119</v>
      </c>
      <c r="E37" s="117">
        <f t="shared" si="35"/>
        <v>0.25319767441860463</v>
      </c>
      <c r="F37" s="117">
        <f t="shared" si="35"/>
        <v>0.31215577431805369</v>
      </c>
      <c r="G37" s="117">
        <f t="shared" si="35"/>
        <v>0.29963013431964181</v>
      </c>
      <c r="H37" s="117">
        <f t="shared" si="35"/>
        <v>0.28664852196265217</v>
      </c>
      <c r="I37" s="116">
        <f>+I36/I22</f>
        <v>0.29499999999999998</v>
      </c>
      <c r="J37" s="117">
        <f t="shared" si="35"/>
        <v>0.29989896419874434</v>
      </c>
      <c r="K37" s="117">
        <f t="shared" si="35"/>
        <v>0.31264993413080611</v>
      </c>
      <c r="L37" s="117">
        <f t="shared" si="35"/>
        <v>0.32200000000000001</v>
      </c>
      <c r="M37" s="117">
        <f t="shared" si="35"/>
        <v>0.34749999999999998</v>
      </c>
      <c r="N37" s="118">
        <f t="shared" si="35"/>
        <v>0.34749999999999998</v>
      </c>
      <c r="O37" s="9"/>
    </row>
    <row r="38" spans="1:15" x14ac:dyDescent="0.2">
      <c r="A38" s="5"/>
      <c r="B38" s="49" t="s">
        <v>22</v>
      </c>
      <c r="C38" s="13">
        <f>-C39*C36</f>
        <v>-1384.875796178344</v>
      </c>
      <c r="D38" s="13">
        <f t="shared" ref="D38:H38" si="36">-D39*D36</f>
        <v>-576.95013765677572</v>
      </c>
      <c r="E38" s="13">
        <f t="shared" si="36"/>
        <v>-571.81589054248673</v>
      </c>
      <c r="F38" s="13">
        <f t="shared" si="36"/>
        <v>-938.68468468468461</v>
      </c>
      <c r="G38" s="13">
        <f t="shared" si="36"/>
        <v>-1087.7094354520332</v>
      </c>
      <c r="H38" s="13">
        <f t="shared" si="36"/>
        <v>-845.17625712804556</v>
      </c>
      <c r="I38" s="111">
        <f>-I39*I36</f>
        <v>-959.32150703999991</v>
      </c>
      <c r="J38" s="13">
        <f t="shared" ref="J38" si="37">-J39*J36</f>
        <v>-1090.6250178154512</v>
      </c>
      <c r="K38" s="13">
        <f t="shared" ref="K38" si="38">-K39*K36</f>
        <v>-1237.1650474854348</v>
      </c>
      <c r="L38" s="13">
        <f t="shared" ref="L38" si="39">-L39*L36</f>
        <v>-1337.8717117523006</v>
      </c>
      <c r="M38" s="13">
        <f t="shared" ref="M38" si="40">-M39*M36</f>
        <v>-1523.231344486926</v>
      </c>
      <c r="N38" s="23">
        <f t="shared" ref="N38" si="41">-N39*N36</f>
        <v>-1614.6252251561416</v>
      </c>
      <c r="O38" s="9"/>
    </row>
    <row r="39" spans="1:15" ht="15" thickBot="1" x14ac:dyDescent="0.25">
      <c r="A39" s="4"/>
      <c r="B39" s="134" t="s">
        <v>23</v>
      </c>
      <c r="C39" s="135">
        <f>Income!L16</f>
        <v>0.30891719745222929</v>
      </c>
      <c r="D39" s="135">
        <f>Income!M16</f>
        <v>0.17222392168858977</v>
      </c>
      <c r="E39" s="135">
        <f>Income!N16</f>
        <v>0.1313010081613058</v>
      </c>
      <c r="F39" s="135">
        <f>Income!O16</f>
        <v>0.13040909762221237</v>
      </c>
      <c r="G39" s="135">
        <f>Income!P16</f>
        <v>0.14133438610343466</v>
      </c>
      <c r="H39" s="135">
        <f>Income!Q16</f>
        <v>0.11145671332296526</v>
      </c>
      <c r="I39" s="147">
        <v>0.12</v>
      </c>
      <c r="J39" s="113">
        <f>I39</f>
        <v>0.12</v>
      </c>
      <c r="K39" s="113">
        <f t="shared" ref="K39:N39" si="42">J39</f>
        <v>0.12</v>
      </c>
      <c r="L39" s="113">
        <f t="shared" si="42"/>
        <v>0.12</v>
      </c>
      <c r="M39" s="113">
        <f t="shared" si="42"/>
        <v>0.12</v>
      </c>
      <c r="N39" s="114">
        <f t="shared" si="42"/>
        <v>0.12</v>
      </c>
      <c r="O39" s="9"/>
    </row>
    <row r="40" spans="1:15" s="9" customFormat="1" ht="15" thickBot="1" x14ac:dyDescent="0.25">
      <c r="A40" s="13"/>
      <c r="C40" s="75"/>
      <c r="D40" s="75"/>
      <c r="E40" s="75"/>
      <c r="F40" s="75"/>
      <c r="G40" s="75"/>
      <c r="H40" s="75"/>
      <c r="I40" s="108"/>
      <c r="J40" s="109"/>
      <c r="K40" s="109"/>
      <c r="L40" s="109"/>
      <c r="M40" s="109"/>
      <c r="N40" s="109"/>
    </row>
    <row r="41" spans="1:15" x14ac:dyDescent="0.2">
      <c r="A41" s="5"/>
      <c r="B41" s="24" t="s">
        <v>24</v>
      </c>
      <c r="C41" s="101">
        <f>C36+C38</f>
        <v>3098.124203821656</v>
      </c>
      <c r="D41" s="101">
        <f t="shared" ref="D41:N41" si="43">D36+D38</f>
        <v>2773.049862343224</v>
      </c>
      <c r="E41" s="101">
        <f t="shared" si="43"/>
        <v>3783.1841094575134</v>
      </c>
      <c r="F41" s="101">
        <f t="shared" si="43"/>
        <v>6259.3153153153153</v>
      </c>
      <c r="G41" s="101">
        <f t="shared" si="43"/>
        <v>6608.2905645479668</v>
      </c>
      <c r="H41" s="102">
        <f t="shared" si="43"/>
        <v>6737.8237428719549</v>
      </c>
      <c r="I41" s="125">
        <f>I36+I38</f>
        <v>7035.0243849599992</v>
      </c>
      <c r="J41" s="101">
        <f t="shared" si="43"/>
        <v>7997.9167973133081</v>
      </c>
      <c r="K41" s="101">
        <f t="shared" si="43"/>
        <v>9072.5436815598569</v>
      </c>
      <c r="L41" s="101">
        <f t="shared" si="43"/>
        <v>9811.0592195168701</v>
      </c>
      <c r="M41" s="101">
        <f t="shared" si="43"/>
        <v>11170.363192904126</v>
      </c>
      <c r="N41" s="102">
        <f t="shared" si="43"/>
        <v>11840.584984478372</v>
      </c>
      <c r="O41" s="9"/>
    </row>
    <row r="42" spans="1:15" x14ac:dyDescent="0.2">
      <c r="A42" s="13"/>
      <c r="B42" s="136" t="s">
        <v>57</v>
      </c>
      <c r="C42" s="117"/>
      <c r="D42" s="117">
        <f t="shared" ref="D42:H42" si="44">+D41/C41-1</f>
        <v>-0.10492618116389274</v>
      </c>
      <c r="E42" s="117">
        <f t="shared" si="44"/>
        <v>0.36426833171356221</v>
      </c>
      <c r="F42" s="117">
        <f t="shared" si="44"/>
        <v>0.65450983463050783</v>
      </c>
      <c r="G42" s="117">
        <f t="shared" si="44"/>
        <v>5.575294287839716E-2</v>
      </c>
      <c r="H42" s="118">
        <f t="shared" si="44"/>
        <v>1.9601616644840725E-2</v>
      </c>
      <c r="I42" s="116">
        <f>+I41/H41-1</f>
        <v>4.4109293064019006E-2</v>
      </c>
      <c r="J42" s="117">
        <f t="shared" ref="J42:N42" si="45">+J41/I41-1</f>
        <v>0.13687122597781642</v>
      </c>
      <c r="K42" s="117">
        <f t="shared" si="45"/>
        <v>0.13436334879196821</v>
      </c>
      <c r="L42" s="117">
        <f t="shared" si="45"/>
        <v>8.1401155384686952E-2</v>
      </c>
      <c r="M42" s="117">
        <f t="shared" si="45"/>
        <v>0.13854813664596266</v>
      </c>
      <c r="N42" s="118">
        <f t="shared" si="45"/>
        <v>5.9999999999999831E-2</v>
      </c>
      <c r="O42" s="9"/>
    </row>
    <row r="43" spans="1:15" x14ac:dyDescent="0.2">
      <c r="B43" s="136" t="s">
        <v>56</v>
      </c>
      <c r="C43" s="117">
        <f t="shared" ref="C43:N43" si="46">+C41/C22</f>
        <v>0.18546089217729159</v>
      </c>
      <c r="D43" s="117">
        <f t="shared" si="46"/>
        <v>0.18983090514397755</v>
      </c>
      <c r="E43" s="117">
        <f t="shared" si="46"/>
        <v>0.2199525645033438</v>
      </c>
      <c r="F43" s="117">
        <f t="shared" si="46"/>
        <v>0.27144782147167335</v>
      </c>
      <c r="G43" s="117">
        <f t="shared" si="46"/>
        <v>0.25728209322748558</v>
      </c>
      <c r="H43" s="118">
        <f t="shared" si="46"/>
        <v>0.25469961982580913</v>
      </c>
      <c r="I43" s="116">
        <f>+I41/I22</f>
        <v>0.2596</v>
      </c>
      <c r="J43" s="117">
        <f t="shared" si="46"/>
        <v>0.26391108849489503</v>
      </c>
      <c r="K43" s="117">
        <f t="shared" si="46"/>
        <v>0.27513194203510938</v>
      </c>
      <c r="L43" s="117">
        <f t="shared" si="46"/>
        <v>0.28336</v>
      </c>
      <c r="M43" s="117">
        <f t="shared" si="46"/>
        <v>0.30580000000000002</v>
      </c>
      <c r="N43" s="118">
        <f t="shared" si="46"/>
        <v>0.30579999999999996</v>
      </c>
      <c r="O43" s="9"/>
    </row>
    <row r="44" spans="1:15" x14ac:dyDescent="0.2">
      <c r="A44" s="4"/>
      <c r="B44" s="25" t="s">
        <v>30</v>
      </c>
      <c r="C44" s="106">
        <f t="shared" ref="C44:N44" si="47">C41/C14</f>
        <v>0.45201035932094014</v>
      </c>
      <c r="D44" s="106">
        <f t="shared" si="47"/>
        <v>0.39870396401279395</v>
      </c>
      <c r="E44" s="106">
        <f t="shared" si="47"/>
        <v>0.47991679683591443</v>
      </c>
      <c r="F44" s="106">
        <f t="shared" si="47"/>
        <v>0.65768592327930275</v>
      </c>
      <c r="G44" s="106">
        <f t="shared" si="47"/>
        <v>0.52084227752452894</v>
      </c>
      <c r="H44" s="107">
        <f t="shared" si="47"/>
        <v>0.55573897094641034</v>
      </c>
      <c r="I44" s="126">
        <f>I41/I14</f>
        <v>0.5664313003543362</v>
      </c>
      <c r="J44" s="106">
        <f t="shared" si="47"/>
        <v>0.5758378314102145</v>
      </c>
      <c r="K44" s="106">
        <f t="shared" si="47"/>
        <v>0.60032104659461039</v>
      </c>
      <c r="L44" s="106">
        <f t="shared" si="47"/>
        <v>0.61827416513252953</v>
      </c>
      <c r="M44" s="106">
        <f t="shared" si="47"/>
        <v>0.66723687075637916</v>
      </c>
      <c r="N44" s="107">
        <f t="shared" si="47"/>
        <v>0.66723687075637905</v>
      </c>
      <c r="O44" s="9"/>
    </row>
    <row r="45" spans="1:15" ht="15" thickBot="1" x14ac:dyDescent="0.25">
      <c r="B45" s="137" t="s">
        <v>26</v>
      </c>
      <c r="C45" s="120"/>
      <c r="D45" s="120">
        <f t="shared" ref="D45:N45" si="48">D41-D16</f>
        <v>2671.9898623432246</v>
      </c>
      <c r="E45" s="120">
        <f t="shared" si="48"/>
        <v>2855.3441094575132</v>
      </c>
      <c r="F45" s="120">
        <f t="shared" si="48"/>
        <v>4625.135315315315</v>
      </c>
      <c r="G45" s="120">
        <f t="shared" si="48"/>
        <v>3437.7705645479664</v>
      </c>
      <c r="H45" s="121">
        <f t="shared" si="48"/>
        <v>7301.4437428719557</v>
      </c>
      <c r="I45" s="119">
        <f>I41-I16</f>
        <v>6739.1968329600022</v>
      </c>
      <c r="J45" s="120">
        <f t="shared" si="48"/>
        <v>6528.641733911707</v>
      </c>
      <c r="K45" s="120">
        <f t="shared" si="48"/>
        <v>7848.9066931429716</v>
      </c>
      <c r="L45" s="120">
        <f t="shared" si="48"/>
        <v>9055.4182393259434</v>
      </c>
      <c r="M45" s="120">
        <f t="shared" si="48"/>
        <v>10297.597860783613</v>
      </c>
      <c r="N45" s="121">
        <f t="shared" si="48"/>
        <v>10836.111429510578</v>
      </c>
      <c r="O45" s="9"/>
    </row>
    <row r="46" spans="1:15" s="9" customFormat="1" x14ac:dyDescent="0.2">
      <c r="A46" s="3"/>
    </row>
    <row r="47" spans="1:15" s="9" customFormat="1" x14ac:dyDescent="0.2">
      <c r="A47" s="3"/>
    </row>
    <row r="48" spans="1:15" s="9" customFormat="1" x14ac:dyDescent="0.2">
      <c r="A48" s="3"/>
    </row>
    <row r="49" spans="1:1" s="9" customFormat="1" x14ac:dyDescent="0.2">
      <c r="A49" s="3"/>
    </row>
  </sheetData>
  <phoneticPr fontId="32" type="noConversion"/>
  <pageMargins left="0.25" right="0.25" top="0.25" bottom="0.25" header="0.3" footer="0.3"/>
  <pageSetup orientation="portrait" r:id="rId1"/>
  <ignoredErrors>
    <ignoredError sqref="I6 I8 I10 I12 J8:J12 K8 K10:K12 L7:L12 M7:M12 N7:N12 J6:N6 K26:N26 L27:N27 J29:N29 J28:N28 J30:N30 J34:N34"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
  <sheetViews>
    <sheetView zoomScale="80" zoomScaleNormal="80" workbookViewId="0">
      <selection activeCell="M19" sqref="M19"/>
    </sheetView>
  </sheetViews>
  <sheetFormatPr baseColWidth="10" defaultColWidth="8.83203125" defaultRowHeight="13" x14ac:dyDescent="0.15"/>
  <cols>
    <col min="1" max="1" width="30.1640625" style="145" customWidth="1"/>
    <col min="2" max="2" width="36.5" style="145" customWidth="1"/>
    <col min="3" max="3" width="24.83203125" style="145" bestFit="1" customWidth="1"/>
    <col min="4" max="4" width="23.83203125" style="145" bestFit="1" customWidth="1"/>
    <col min="5" max="5" width="14.33203125" style="145" bestFit="1" customWidth="1"/>
    <col min="6" max="6" width="21.33203125" style="145" bestFit="1" customWidth="1"/>
    <col min="7" max="7" width="10.6640625" style="145" customWidth="1"/>
    <col min="8" max="8" width="17" style="145" customWidth="1"/>
    <col min="9" max="10" width="10.6640625" style="145" customWidth="1"/>
    <col min="11" max="11" width="9.1640625" style="145"/>
    <col min="12" max="14" width="9.1640625" style="148"/>
    <col min="15" max="250" width="9.1640625" style="145"/>
    <col min="251" max="251" width="16.33203125" style="145" bestFit="1" customWidth="1"/>
    <col min="252" max="252" width="31.6640625" style="145" bestFit="1" customWidth="1"/>
    <col min="253" max="253" width="9.1640625" style="145" bestFit="1" customWidth="1"/>
    <col min="254" max="254" width="11.5" style="145" bestFit="1" customWidth="1"/>
    <col min="255" max="255" width="8.33203125" style="145" bestFit="1" customWidth="1"/>
    <col min="256" max="256" width="14.1640625" style="145" bestFit="1" customWidth="1"/>
    <col min="257" max="257" width="5.6640625" style="145" customWidth="1"/>
    <col min="258" max="258" width="7.6640625" style="145" bestFit="1" customWidth="1"/>
    <col min="259" max="259" width="13.1640625" style="145" bestFit="1" customWidth="1"/>
    <col min="260" max="260" width="9.5" style="145" bestFit="1" customWidth="1"/>
    <col min="261" max="506" width="9.1640625" style="145"/>
    <col min="507" max="507" width="16.33203125" style="145" bestFit="1" customWidth="1"/>
    <col min="508" max="508" width="31.6640625" style="145" bestFit="1" customWidth="1"/>
    <col min="509" max="509" width="9.1640625" style="145" bestFit="1" customWidth="1"/>
    <col min="510" max="510" width="11.5" style="145" bestFit="1" customWidth="1"/>
    <col min="511" max="511" width="8.33203125" style="145" bestFit="1" customWidth="1"/>
    <col min="512" max="512" width="14.1640625" style="145" bestFit="1" customWidth="1"/>
    <col min="513" max="513" width="5.6640625" style="145" customWidth="1"/>
    <col min="514" max="514" width="7.6640625" style="145" bestFit="1" customWidth="1"/>
    <col min="515" max="515" width="13.1640625" style="145" bestFit="1" customWidth="1"/>
    <col min="516" max="516" width="9.5" style="145" bestFit="1" customWidth="1"/>
    <col min="517" max="762" width="9.1640625" style="145"/>
    <col min="763" max="763" width="16.33203125" style="145" bestFit="1" customWidth="1"/>
    <col min="764" max="764" width="31.6640625" style="145" bestFit="1" customWidth="1"/>
    <col min="765" max="765" width="9.1640625" style="145" bestFit="1" customWidth="1"/>
    <col min="766" max="766" width="11.5" style="145" bestFit="1" customWidth="1"/>
    <col min="767" max="767" width="8.33203125" style="145" bestFit="1" customWidth="1"/>
    <col min="768" max="768" width="14.1640625" style="145" bestFit="1" customWidth="1"/>
    <col min="769" max="769" width="5.6640625" style="145" customWidth="1"/>
    <col min="770" max="770" width="7.6640625" style="145" bestFit="1" customWidth="1"/>
    <col min="771" max="771" width="13.1640625" style="145" bestFit="1" customWidth="1"/>
    <col min="772" max="772" width="9.5" style="145" bestFit="1" customWidth="1"/>
    <col min="773" max="1018" width="9.1640625" style="145"/>
    <col min="1019" max="1019" width="16.33203125" style="145" bestFit="1" customWidth="1"/>
    <col min="1020" max="1020" width="31.6640625" style="145" bestFit="1" customWidth="1"/>
    <col min="1021" max="1021" width="9.1640625" style="145" bestFit="1" customWidth="1"/>
    <col min="1022" max="1022" width="11.5" style="145" bestFit="1" customWidth="1"/>
    <col min="1023" max="1023" width="8.33203125" style="145" bestFit="1" customWidth="1"/>
    <col min="1024" max="1024" width="14.1640625" style="145" bestFit="1" customWidth="1"/>
    <col min="1025" max="1025" width="5.6640625" style="145" customWidth="1"/>
    <col min="1026" max="1026" width="7.6640625" style="145" bestFit="1" customWidth="1"/>
    <col min="1027" max="1027" width="13.1640625" style="145" bestFit="1" customWidth="1"/>
    <col min="1028" max="1028" width="9.5" style="145" bestFit="1" customWidth="1"/>
    <col min="1029" max="1274" width="9.1640625" style="145"/>
    <col min="1275" max="1275" width="16.33203125" style="145" bestFit="1" customWidth="1"/>
    <col min="1276" max="1276" width="31.6640625" style="145" bestFit="1" customWidth="1"/>
    <col min="1277" max="1277" width="9.1640625" style="145" bestFit="1" customWidth="1"/>
    <col min="1278" max="1278" width="11.5" style="145" bestFit="1" customWidth="1"/>
    <col min="1279" max="1279" width="8.33203125" style="145" bestFit="1" customWidth="1"/>
    <col min="1280" max="1280" width="14.1640625" style="145" bestFit="1" customWidth="1"/>
    <col min="1281" max="1281" width="5.6640625" style="145" customWidth="1"/>
    <col min="1282" max="1282" width="7.6640625" style="145" bestFit="1" customWidth="1"/>
    <col min="1283" max="1283" width="13.1640625" style="145" bestFit="1" customWidth="1"/>
    <col min="1284" max="1284" width="9.5" style="145" bestFit="1" customWidth="1"/>
    <col min="1285" max="1530" width="9.1640625" style="145"/>
    <col min="1531" max="1531" width="16.33203125" style="145" bestFit="1" customWidth="1"/>
    <col min="1532" max="1532" width="31.6640625" style="145" bestFit="1" customWidth="1"/>
    <col min="1533" max="1533" width="9.1640625" style="145" bestFit="1" customWidth="1"/>
    <col min="1534" max="1534" width="11.5" style="145" bestFit="1" customWidth="1"/>
    <col min="1535" max="1535" width="8.33203125" style="145" bestFit="1" customWidth="1"/>
    <col min="1536" max="1536" width="14.1640625" style="145" bestFit="1" customWidth="1"/>
    <col min="1537" max="1537" width="5.6640625" style="145" customWidth="1"/>
    <col min="1538" max="1538" width="7.6640625" style="145" bestFit="1" customWidth="1"/>
    <col min="1539" max="1539" width="13.1640625" style="145" bestFit="1" customWidth="1"/>
    <col min="1540" max="1540" width="9.5" style="145" bestFit="1" customWidth="1"/>
    <col min="1541" max="1786" width="9.1640625" style="145"/>
    <col min="1787" max="1787" width="16.33203125" style="145" bestFit="1" customWidth="1"/>
    <col min="1788" max="1788" width="31.6640625" style="145" bestFit="1" customWidth="1"/>
    <col min="1789" max="1789" width="9.1640625" style="145" bestFit="1" customWidth="1"/>
    <col min="1790" max="1790" width="11.5" style="145" bestFit="1" customWidth="1"/>
    <col min="1791" max="1791" width="8.33203125" style="145" bestFit="1" customWidth="1"/>
    <col min="1792" max="1792" width="14.1640625" style="145" bestFit="1" customWidth="1"/>
    <col min="1793" max="1793" width="5.6640625" style="145" customWidth="1"/>
    <col min="1794" max="1794" width="7.6640625" style="145" bestFit="1" customWidth="1"/>
    <col min="1795" max="1795" width="13.1640625" style="145" bestFit="1" customWidth="1"/>
    <col min="1796" max="1796" width="9.5" style="145" bestFit="1" customWidth="1"/>
    <col min="1797" max="2042" width="9.1640625" style="145"/>
    <col min="2043" max="2043" width="16.33203125" style="145" bestFit="1" customWidth="1"/>
    <col min="2044" max="2044" width="31.6640625" style="145" bestFit="1" customWidth="1"/>
    <col min="2045" max="2045" width="9.1640625" style="145" bestFit="1" customWidth="1"/>
    <col min="2046" max="2046" width="11.5" style="145" bestFit="1" customWidth="1"/>
    <col min="2047" max="2047" width="8.33203125" style="145" bestFit="1" customWidth="1"/>
    <col min="2048" max="2048" width="14.1640625" style="145" bestFit="1" customWidth="1"/>
    <col min="2049" max="2049" width="5.6640625" style="145" customWidth="1"/>
    <col min="2050" max="2050" width="7.6640625" style="145" bestFit="1" customWidth="1"/>
    <col min="2051" max="2051" width="13.1640625" style="145" bestFit="1" customWidth="1"/>
    <col min="2052" max="2052" width="9.5" style="145" bestFit="1" customWidth="1"/>
    <col min="2053" max="2298" width="9.1640625" style="145"/>
    <col min="2299" max="2299" width="16.33203125" style="145" bestFit="1" customWidth="1"/>
    <col min="2300" max="2300" width="31.6640625" style="145" bestFit="1" customWidth="1"/>
    <col min="2301" max="2301" width="9.1640625" style="145" bestFit="1" customWidth="1"/>
    <col min="2302" max="2302" width="11.5" style="145" bestFit="1" customWidth="1"/>
    <col min="2303" max="2303" width="8.33203125" style="145" bestFit="1" customWidth="1"/>
    <col min="2304" max="2304" width="14.1640625" style="145" bestFit="1" customWidth="1"/>
    <col min="2305" max="2305" width="5.6640625" style="145" customWidth="1"/>
    <col min="2306" max="2306" width="7.6640625" style="145" bestFit="1" customWidth="1"/>
    <col min="2307" max="2307" width="13.1640625" style="145" bestFit="1" customWidth="1"/>
    <col min="2308" max="2308" width="9.5" style="145" bestFit="1" customWidth="1"/>
    <col min="2309" max="2554" width="9.1640625" style="145"/>
    <col min="2555" max="2555" width="16.33203125" style="145" bestFit="1" customWidth="1"/>
    <col min="2556" max="2556" width="31.6640625" style="145" bestFit="1" customWidth="1"/>
    <col min="2557" max="2557" width="9.1640625" style="145" bestFit="1" customWidth="1"/>
    <col min="2558" max="2558" width="11.5" style="145" bestFit="1" customWidth="1"/>
    <col min="2559" max="2559" width="8.33203125" style="145" bestFit="1" customWidth="1"/>
    <col min="2560" max="2560" width="14.1640625" style="145" bestFit="1" customWidth="1"/>
    <col min="2561" max="2561" width="5.6640625" style="145" customWidth="1"/>
    <col min="2562" max="2562" width="7.6640625" style="145" bestFit="1" customWidth="1"/>
    <col min="2563" max="2563" width="13.1640625" style="145" bestFit="1" customWidth="1"/>
    <col min="2564" max="2564" width="9.5" style="145" bestFit="1" customWidth="1"/>
    <col min="2565" max="2810" width="9.1640625" style="145"/>
    <col min="2811" max="2811" width="16.33203125" style="145" bestFit="1" customWidth="1"/>
    <col min="2812" max="2812" width="31.6640625" style="145" bestFit="1" customWidth="1"/>
    <col min="2813" max="2813" width="9.1640625" style="145" bestFit="1" customWidth="1"/>
    <col min="2814" max="2814" width="11.5" style="145" bestFit="1" customWidth="1"/>
    <col min="2815" max="2815" width="8.33203125" style="145" bestFit="1" customWidth="1"/>
    <col min="2816" max="2816" width="14.1640625" style="145" bestFit="1" customWidth="1"/>
    <col min="2817" max="2817" width="5.6640625" style="145" customWidth="1"/>
    <col min="2818" max="2818" width="7.6640625" style="145" bestFit="1" customWidth="1"/>
    <col min="2819" max="2819" width="13.1640625" style="145" bestFit="1" customWidth="1"/>
    <col min="2820" max="2820" width="9.5" style="145" bestFit="1" customWidth="1"/>
    <col min="2821" max="3066" width="9.1640625" style="145"/>
    <col min="3067" max="3067" width="16.33203125" style="145" bestFit="1" customWidth="1"/>
    <col min="3068" max="3068" width="31.6640625" style="145" bestFit="1" customWidth="1"/>
    <col min="3069" max="3069" width="9.1640625" style="145" bestFit="1" customWidth="1"/>
    <col min="3070" max="3070" width="11.5" style="145" bestFit="1" customWidth="1"/>
    <col min="3071" max="3071" width="8.33203125" style="145" bestFit="1" customWidth="1"/>
    <col min="3072" max="3072" width="14.1640625" style="145" bestFit="1" customWidth="1"/>
    <col min="3073" max="3073" width="5.6640625" style="145" customWidth="1"/>
    <col min="3074" max="3074" width="7.6640625" style="145" bestFit="1" customWidth="1"/>
    <col min="3075" max="3075" width="13.1640625" style="145" bestFit="1" customWidth="1"/>
    <col min="3076" max="3076" width="9.5" style="145" bestFit="1" customWidth="1"/>
    <col min="3077" max="3322" width="9.1640625" style="145"/>
    <col min="3323" max="3323" width="16.33203125" style="145" bestFit="1" customWidth="1"/>
    <col min="3324" max="3324" width="31.6640625" style="145" bestFit="1" customWidth="1"/>
    <col min="3325" max="3325" width="9.1640625" style="145" bestFit="1" customWidth="1"/>
    <col min="3326" max="3326" width="11.5" style="145" bestFit="1" customWidth="1"/>
    <col min="3327" max="3327" width="8.33203125" style="145" bestFit="1" customWidth="1"/>
    <col min="3328" max="3328" width="14.1640625" style="145" bestFit="1" customWidth="1"/>
    <col min="3329" max="3329" width="5.6640625" style="145" customWidth="1"/>
    <col min="3330" max="3330" width="7.6640625" style="145" bestFit="1" customWidth="1"/>
    <col min="3331" max="3331" width="13.1640625" style="145" bestFit="1" customWidth="1"/>
    <col min="3332" max="3332" width="9.5" style="145" bestFit="1" customWidth="1"/>
    <col min="3333" max="3578" width="9.1640625" style="145"/>
    <col min="3579" max="3579" width="16.33203125" style="145" bestFit="1" customWidth="1"/>
    <col min="3580" max="3580" width="31.6640625" style="145" bestFit="1" customWidth="1"/>
    <col min="3581" max="3581" width="9.1640625" style="145" bestFit="1" customWidth="1"/>
    <col min="3582" max="3582" width="11.5" style="145" bestFit="1" customWidth="1"/>
    <col min="3583" max="3583" width="8.33203125" style="145" bestFit="1" customWidth="1"/>
    <col min="3584" max="3584" width="14.1640625" style="145" bestFit="1" customWidth="1"/>
    <col min="3585" max="3585" width="5.6640625" style="145" customWidth="1"/>
    <col min="3586" max="3586" width="7.6640625" style="145" bestFit="1" customWidth="1"/>
    <col min="3587" max="3587" width="13.1640625" style="145" bestFit="1" customWidth="1"/>
    <col min="3588" max="3588" width="9.5" style="145" bestFit="1" customWidth="1"/>
    <col min="3589" max="3834" width="9.1640625" style="145"/>
    <col min="3835" max="3835" width="16.33203125" style="145" bestFit="1" customWidth="1"/>
    <col min="3836" max="3836" width="31.6640625" style="145" bestFit="1" customWidth="1"/>
    <col min="3837" max="3837" width="9.1640625" style="145" bestFit="1" customWidth="1"/>
    <col min="3838" max="3838" width="11.5" style="145" bestFit="1" customWidth="1"/>
    <col min="3839" max="3839" width="8.33203125" style="145" bestFit="1" customWidth="1"/>
    <col min="3840" max="3840" width="14.1640625" style="145" bestFit="1" customWidth="1"/>
    <col min="3841" max="3841" width="5.6640625" style="145" customWidth="1"/>
    <col min="3842" max="3842" width="7.6640625" style="145" bestFit="1" customWidth="1"/>
    <col min="3843" max="3843" width="13.1640625" style="145" bestFit="1" customWidth="1"/>
    <col min="3844" max="3844" width="9.5" style="145" bestFit="1" customWidth="1"/>
    <col min="3845" max="4090" width="9.1640625" style="145"/>
    <col min="4091" max="4091" width="16.33203125" style="145" bestFit="1" customWidth="1"/>
    <col min="4092" max="4092" width="31.6640625" style="145" bestFit="1" customWidth="1"/>
    <col min="4093" max="4093" width="9.1640625" style="145" bestFit="1" customWidth="1"/>
    <col min="4094" max="4094" width="11.5" style="145" bestFit="1" customWidth="1"/>
    <col min="4095" max="4095" width="8.33203125" style="145" bestFit="1" customWidth="1"/>
    <col min="4096" max="4096" width="14.1640625" style="145" bestFit="1" customWidth="1"/>
    <col min="4097" max="4097" width="5.6640625" style="145" customWidth="1"/>
    <col min="4098" max="4098" width="7.6640625" style="145" bestFit="1" customWidth="1"/>
    <col min="4099" max="4099" width="13.1640625" style="145" bestFit="1" customWidth="1"/>
    <col min="4100" max="4100" width="9.5" style="145" bestFit="1" customWidth="1"/>
    <col min="4101" max="4346" width="9.1640625" style="145"/>
    <col min="4347" max="4347" width="16.33203125" style="145" bestFit="1" customWidth="1"/>
    <col min="4348" max="4348" width="31.6640625" style="145" bestFit="1" customWidth="1"/>
    <col min="4349" max="4349" width="9.1640625" style="145" bestFit="1" customWidth="1"/>
    <col min="4350" max="4350" width="11.5" style="145" bestFit="1" customWidth="1"/>
    <col min="4351" max="4351" width="8.33203125" style="145" bestFit="1" customWidth="1"/>
    <col min="4352" max="4352" width="14.1640625" style="145" bestFit="1" customWidth="1"/>
    <col min="4353" max="4353" width="5.6640625" style="145" customWidth="1"/>
    <col min="4354" max="4354" width="7.6640625" style="145" bestFit="1" customWidth="1"/>
    <col min="4355" max="4355" width="13.1640625" style="145" bestFit="1" customWidth="1"/>
    <col min="4356" max="4356" width="9.5" style="145" bestFit="1" customWidth="1"/>
    <col min="4357" max="4602" width="9.1640625" style="145"/>
    <col min="4603" max="4603" width="16.33203125" style="145" bestFit="1" customWidth="1"/>
    <col min="4604" max="4604" width="31.6640625" style="145" bestFit="1" customWidth="1"/>
    <col min="4605" max="4605" width="9.1640625" style="145" bestFit="1" customWidth="1"/>
    <col min="4606" max="4606" width="11.5" style="145" bestFit="1" customWidth="1"/>
    <col min="4607" max="4607" width="8.33203125" style="145" bestFit="1" customWidth="1"/>
    <col min="4608" max="4608" width="14.1640625" style="145" bestFit="1" customWidth="1"/>
    <col min="4609" max="4609" width="5.6640625" style="145" customWidth="1"/>
    <col min="4610" max="4610" width="7.6640625" style="145" bestFit="1" customWidth="1"/>
    <col min="4611" max="4611" width="13.1640625" style="145" bestFit="1" customWidth="1"/>
    <col min="4612" max="4612" width="9.5" style="145" bestFit="1" customWidth="1"/>
    <col min="4613" max="4858" width="9.1640625" style="145"/>
    <col min="4859" max="4859" width="16.33203125" style="145" bestFit="1" customWidth="1"/>
    <col min="4860" max="4860" width="31.6640625" style="145" bestFit="1" customWidth="1"/>
    <col min="4861" max="4861" width="9.1640625" style="145" bestFit="1" customWidth="1"/>
    <col min="4862" max="4862" width="11.5" style="145" bestFit="1" customWidth="1"/>
    <col min="4863" max="4863" width="8.33203125" style="145" bestFit="1" customWidth="1"/>
    <col min="4864" max="4864" width="14.1640625" style="145" bestFit="1" customWidth="1"/>
    <col min="4865" max="4865" width="5.6640625" style="145" customWidth="1"/>
    <col min="4866" max="4866" width="7.6640625" style="145" bestFit="1" customWidth="1"/>
    <col min="4867" max="4867" width="13.1640625" style="145" bestFit="1" customWidth="1"/>
    <col min="4868" max="4868" width="9.5" style="145" bestFit="1" customWidth="1"/>
    <col min="4869" max="5114" width="9.1640625" style="145"/>
    <col min="5115" max="5115" width="16.33203125" style="145" bestFit="1" customWidth="1"/>
    <col min="5116" max="5116" width="31.6640625" style="145" bestFit="1" customWidth="1"/>
    <col min="5117" max="5117" width="9.1640625" style="145" bestFit="1" customWidth="1"/>
    <col min="5118" max="5118" width="11.5" style="145" bestFit="1" customWidth="1"/>
    <col min="5119" max="5119" width="8.33203125" style="145" bestFit="1" customWidth="1"/>
    <col min="5120" max="5120" width="14.1640625" style="145" bestFit="1" customWidth="1"/>
    <col min="5121" max="5121" width="5.6640625" style="145" customWidth="1"/>
    <col min="5122" max="5122" width="7.6640625" style="145" bestFit="1" customWidth="1"/>
    <col min="5123" max="5123" width="13.1640625" style="145" bestFit="1" customWidth="1"/>
    <col min="5124" max="5124" width="9.5" style="145" bestFit="1" customWidth="1"/>
    <col min="5125" max="5370" width="9.1640625" style="145"/>
    <col min="5371" max="5371" width="16.33203125" style="145" bestFit="1" customWidth="1"/>
    <col min="5372" max="5372" width="31.6640625" style="145" bestFit="1" customWidth="1"/>
    <col min="5373" max="5373" width="9.1640625" style="145" bestFit="1" customWidth="1"/>
    <col min="5374" max="5374" width="11.5" style="145" bestFit="1" customWidth="1"/>
    <col min="5375" max="5375" width="8.33203125" style="145" bestFit="1" customWidth="1"/>
    <col min="5376" max="5376" width="14.1640625" style="145" bestFit="1" customWidth="1"/>
    <col min="5377" max="5377" width="5.6640625" style="145" customWidth="1"/>
    <col min="5378" max="5378" width="7.6640625" style="145" bestFit="1" customWidth="1"/>
    <col min="5379" max="5379" width="13.1640625" style="145" bestFit="1" customWidth="1"/>
    <col min="5380" max="5380" width="9.5" style="145" bestFit="1" customWidth="1"/>
    <col min="5381" max="5626" width="9.1640625" style="145"/>
    <col min="5627" max="5627" width="16.33203125" style="145" bestFit="1" customWidth="1"/>
    <col min="5628" max="5628" width="31.6640625" style="145" bestFit="1" customWidth="1"/>
    <col min="5629" max="5629" width="9.1640625" style="145" bestFit="1" customWidth="1"/>
    <col min="5630" max="5630" width="11.5" style="145" bestFit="1" customWidth="1"/>
    <col min="5631" max="5631" width="8.33203125" style="145" bestFit="1" customWidth="1"/>
    <col min="5632" max="5632" width="14.1640625" style="145" bestFit="1" customWidth="1"/>
    <col min="5633" max="5633" width="5.6640625" style="145" customWidth="1"/>
    <col min="5634" max="5634" width="7.6640625" style="145" bestFit="1" customWidth="1"/>
    <col min="5635" max="5635" width="13.1640625" style="145" bestFit="1" customWidth="1"/>
    <col min="5636" max="5636" width="9.5" style="145" bestFit="1" customWidth="1"/>
    <col min="5637" max="5882" width="9.1640625" style="145"/>
    <col min="5883" max="5883" width="16.33203125" style="145" bestFit="1" customWidth="1"/>
    <col min="5884" max="5884" width="31.6640625" style="145" bestFit="1" customWidth="1"/>
    <col min="5885" max="5885" width="9.1640625" style="145" bestFit="1" customWidth="1"/>
    <col min="5886" max="5886" width="11.5" style="145" bestFit="1" customWidth="1"/>
    <col min="5887" max="5887" width="8.33203125" style="145" bestFit="1" customWidth="1"/>
    <col min="5888" max="5888" width="14.1640625" style="145" bestFit="1" customWidth="1"/>
    <col min="5889" max="5889" width="5.6640625" style="145" customWidth="1"/>
    <col min="5890" max="5890" width="7.6640625" style="145" bestFit="1" customWidth="1"/>
    <col min="5891" max="5891" width="13.1640625" style="145" bestFit="1" customWidth="1"/>
    <col min="5892" max="5892" width="9.5" style="145" bestFit="1" customWidth="1"/>
    <col min="5893" max="6138" width="9.1640625" style="145"/>
    <col min="6139" max="6139" width="16.33203125" style="145" bestFit="1" customWidth="1"/>
    <col min="6140" max="6140" width="31.6640625" style="145" bestFit="1" customWidth="1"/>
    <col min="6141" max="6141" width="9.1640625" style="145" bestFit="1" customWidth="1"/>
    <col min="6142" max="6142" width="11.5" style="145" bestFit="1" customWidth="1"/>
    <col min="6143" max="6143" width="8.33203125" style="145" bestFit="1" customWidth="1"/>
    <col min="6144" max="6144" width="14.1640625" style="145" bestFit="1" customWidth="1"/>
    <col min="6145" max="6145" width="5.6640625" style="145" customWidth="1"/>
    <col min="6146" max="6146" width="7.6640625" style="145" bestFit="1" customWidth="1"/>
    <col min="6147" max="6147" width="13.1640625" style="145" bestFit="1" customWidth="1"/>
    <col min="6148" max="6148" width="9.5" style="145" bestFit="1" customWidth="1"/>
    <col min="6149" max="6394" width="9.1640625" style="145"/>
    <col min="6395" max="6395" width="16.33203125" style="145" bestFit="1" customWidth="1"/>
    <col min="6396" max="6396" width="31.6640625" style="145" bestFit="1" customWidth="1"/>
    <col min="6397" max="6397" width="9.1640625" style="145" bestFit="1" customWidth="1"/>
    <col min="6398" max="6398" width="11.5" style="145" bestFit="1" customWidth="1"/>
    <col min="6399" max="6399" width="8.33203125" style="145" bestFit="1" customWidth="1"/>
    <col min="6400" max="6400" width="14.1640625" style="145" bestFit="1" customWidth="1"/>
    <col min="6401" max="6401" width="5.6640625" style="145" customWidth="1"/>
    <col min="6402" max="6402" width="7.6640625" style="145" bestFit="1" customWidth="1"/>
    <col min="6403" max="6403" width="13.1640625" style="145" bestFit="1" customWidth="1"/>
    <col min="6404" max="6404" width="9.5" style="145" bestFit="1" customWidth="1"/>
    <col min="6405" max="6650" width="9.1640625" style="145"/>
    <col min="6651" max="6651" width="16.33203125" style="145" bestFit="1" customWidth="1"/>
    <col min="6652" max="6652" width="31.6640625" style="145" bestFit="1" customWidth="1"/>
    <col min="6653" max="6653" width="9.1640625" style="145" bestFit="1" customWidth="1"/>
    <col min="6654" max="6654" width="11.5" style="145" bestFit="1" customWidth="1"/>
    <col min="6655" max="6655" width="8.33203125" style="145" bestFit="1" customWidth="1"/>
    <col min="6656" max="6656" width="14.1640625" style="145" bestFit="1" customWidth="1"/>
    <col min="6657" max="6657" width="5.6640625" style="145" customWidth="1"/>
    <col min="6658" max="6658" width="7.6640625" style="145" bestFit="1" customWidth="1"/>
    <col min="6659" max="6659" width="13.1640625" style="145" bestFit="1" customWidth="1"/>
    <col min="6660" max="6660" width="9.5" style="145" bestFit="1" customWidth="1"/>
    <col min="6661" max="6906" width="9.1640625" style="145"/>
    <col min="6907" max="6907" width="16.33203125" style="145" bestFit="1" customWidth="1"/>
    <col min="6908" max="6908" width="31.6640625" style="145" bestFit="1" customWidth="1"/>
    <col min="6909" max="6909" width="9.1640625" style="145" bestFit="1" customWidth="1"/>
    <col min="6910" max="6910" width="11.5" style="145" bestFit="1" customWidth="1"/>
    <col min="6911" max="6911" width="8.33203125" style="145" bestFit="1" customWidth="1"/>
    <col min="6912" max="6912" width="14.1640625" style="145" bestFit="1" customWidth="1"/>
    <col min="6913" max="6913" width="5.6640625" style="145" customWidth="1"/>
    <col min="6914" max="6914" width="7.6640625" style="145" bestFit="1" customWidth="1"/>
    <col min="6915" max="6915" width="13.1640625" style="145" bestFit="1" customWidth="1"/>
    <col min="6916" max="6916" width="9.5" style="145" bestFit="1" customWidth="1"/>
    <col min="6917" max="7162" width="9.1640625" style="145"/>
    <col min="7163" max="7163" width="16.33203125" style="145" bestFit="1" customWidth="1"/>
    <col min="7164" max="7164" width="31.6640625" style="145" bestFit="1" customWidth="1"/>
    <col min="7165" max="7165" width="9.1640625" style="145" bestFit="1" customWidth="1"/>
    <col min="7166" max="7166" width="11.5" style="145" bestFit="1" customWidth="1"/>
    <col min="7167" max="7167" width="8.33203125" style="145" bestFit="1" customWidth="1"/>
    <col min="7168" max="7168" width="14.1640625" style="145" bestFit="1" customWidth="1"/>
    <col min="7169" max="7169" width="5.6640625" style="145" customWidth="1"/>
    <col min="7170" max="7170" width="7.6640625" style="145" bestFit="1" customWidth="1"/>
    <col min="7171" max="7171" width="13.1640625" style="145" bestFit="1" customWidth="1"/>
    <col min="7172" max="7172" width="9.5" style="145" bestFit="1" customWidth="1"/>
    <col min="7173" max="7418" width="9.1640625" style="145"/>
    <col min="7419" max="7419" width="16.33203125" style="145" bestFit="1" customWidth="1"/>
    <col min="7420" max="7420" width="31.6640625" style="145" bestFit="1" customWidth="1"/>
    <col min="7421" max="7421" width="9.1640625" style="145" bestFit="1" customWidth="1"/>
    <col min="7422" max="7422" width="11.5" style="145" bestFit="1" customWidth="1"/>
    <col min="7423" max="7423" width="8.33203125" style="145" bestFit="1" customWidth="1"/>
    <col min="7424" max="7424" width="14.1640625" style="145" bestFit="1" customWidth="1"/>
    <col min="7425" max="7425" width="5.6640625" style="145" customWidth="1"/>
    <col min="7426" max="7426" width="7.6640625" style="145" bestFit="1" customWidth="1"/>
    <col min="7427" max="7427" width="13.1640625" style="145" bestFit="1" customWidth="1"/>
    <col min="7428" max="7428" width="9.5" style="145" bestFit="1" customWidth="1"/>
    <col min="7429" max="7674" width="9.1640625" style="145"/>
    <col min="7675" max="7675" width="16.33203125" style="145" bestFit="1" customWidth="1"/>
    <col min="7676" max="7676" width="31.6640625" style="145" bestFit="1" customWidth="1"/>
    <col min="7677" max="7677" width="9.1640625" style="145" bestFit="1" customWidth="1"/>
    <col min="7678" max="7678" width="11.5" style="145" bestFit="1" customWidth="1"/>
    <col min="7679" max="7679" width="8.33203125" style="145" bestFit="1" customWidth="1"/>
    <col min="7680" max="7680" width="14.1640625" style="145" bestFit="1" customWidth="1"/>
    <col min="7681" max="7681" width="5.6640625" style="145" customWidth="1"/>
    <col min="7682" max="7682" width="7.6640625" style="145" bestFit="1" customWidth="1"/>
    <col min="7683" max="7683" width="13.1640625" style="145" bestFit="1" customWidth="1"/>
    <col min="7684" max="7684" width="9.5" style="145" bestFit="1" customWidth="1"/>
    <col min="7685" max="7930" width="9.1640625" style="145"/>
    <col min="7931" max="7931" width="16.33203125" style="145" bestFit="1" customWidth="1"/>
    <col min="7932" max="7932" width="31.6640625" style="145" bestFit="1" customWidth="1"/>
    <col min="7933" max="7933" width="9.1640625" style="145" bestFit="1" customWidth="1"/>
    <col min="7934" max="7934" width="11.5" style="145" bestFit="1" customWidth="1"/>
    <col min="7935" max="7935" width="8.33203125" style="145" bestFit="1" customWidth="1"/>
    <col min="7936" max="7936" width="14.1640625" style="145" bestFit="1" customWidth="1"/>
    <col min="7937" max="7937" width="5.6640625" style="145" customWidth="1"/>
    <col min="7938" max="7938" width="7.6640625" style="145" bestFit="1" customWidth="1"/>
    <col min="7939" max="7939" width="13.1640625" style="145" bestFit="1" customWidth="1"/>
    <col min="7940" max="7940" width="9.5" style="145" bestFit="1" customWidth="1"/>
    <col min="7941" max="8186" width="9.1640625" style="145"/>
    <col min="8187" max="8187" width="16.33203125" style="145" bestFit="1" customWidth="1"/>
    <col min="8188" max="8188" width="31.6640625" style="145" bestFit="1" customWidth="1"/>
    <col min="8189" max="8189" width="9.1640625" style="145" bestFit="1" customWidth="1"/>
    <col min="8190" max="8190" width="11.5" style="145" bestFit="1" customWidth="1"/>
    <col min="8191" max="8191" width="8.33203125" style="145" bestFit="1" customWidth="1"/>
    <col min="8192" max="8192" width="14.1640625" style="145" bestFit="1" customWidth="1"/>
    <col min="8193" max="8193" width="5.6640625" style="145" customWidth="1"/>
    <col min="8194" max="8194" width="7.6640625" style="145" bestFit="1" customWidth="1"/>
    <col min="8195" max="8195" width="13.1640625" style="145" bestFit="1" customWidth="1"/>
    <col min="8196" max="8196" width="9.5" style="145" bestFit="1" customWidth="1"/>
    <col min="8197" max="8442" width="9.1640625" style="145"/>
    <col min="8443" max="8443" width="16.33203125" style="145" bestFit="1" customWidth="1"/>
    <col min="8444" max="8444" width="31.6640625" style="145" bestFit="1" customWidth="1"/>
    <col min="8445" max="8445" width="9.1640625" style="145" bestFit="1" customWidth="1"/>
    <col min="8446" max="8446" width="11.5" style="145" bestFit="1" customWidth="1"/>
    <col min="8447" max="8447" width="8.33203125" style="145" bestFit="1" customWidth="1"/>
    <col min="8448" max="8448" width="14.1640625" style="145" bestFit="1" customWidth="1"/>
    <col min="8449" max="8449" width="5.6640625" style="145" customWidth="1"/>
    <col min="8450" max="8450" width="7.6640625" style="145" bestFit="1" customWidth="1"/>
    <col min="8451" max="8451" width="13.1640625" style="145" bestFit="1" customWidth="1"/>
    <col min="8452" max="8452" width="9.5" style="145" bestFit="1" customWidth="1"/>
    <col min="8453" max="8698" width="9.1640625" style="145"/>
    <col min="8699" max="8699" width="16.33203125" style="145" bestFit="1" customWidth="1"/>
    <col min="8700" max="8700" width="31.6640625" style="145" bestFit="1" customWidth="1"/>
    <col min="8701" max="8701" width="9.1640625" style="145" bestFit="1" customWidth="1"/>
    <col min="8702" max="8702" width="11.5" style="145" bestFit="1" customWidth="1"/>
    <col min="8703" max="8703" width="8.33203125" style="145" bestFit="1" customWidth="1"/>
    <col min="8704" max="8704" width="14.1640625" style="145" bestFit="1" customWidth="1"/>
    <col min="8705" max="8705" width="5.6640625" style="145" customWidth="1"/>
    <col min="8706" max="8706" width="7.6640625" style="145" bestFit="1" customWidth="1"/>
    <col min="8707" max="8707" width="13.1640625" style="145" bestFit="1" customWidth="1"/>
    <col min="8708" max="8708" width="9.5" style="145" bestFit="1" customWidth="1"/>
    <col min="8709" max="8954" width="9.1640625" style="145"/>
    <col min="8955" max="8955" width="16.33203125" style="145" bestFit="1" customWidth="1"/>
    <col min="8956" max="8956" width="31.6640625" style="145" bestFit="1" customWidth="1"/>
    <col min="8957" max="8957" width="9.1640625" style="145" bestFit="1" customWidth="1"/>
    <col min="8958" max="8958" width="11.5" style="145" bestFit="1" customWidth="1"/>
    <col min="8959" max="8959" width="8.33203125" style="145" bestFit="1" customWidth="1"/>
    <col min="8960" max="8960" width="14.1640625" style="145" bestFit="1" customWidth="1"/>
    <col min="8961" max="8961" width="5.6640625" style="145" customWidth="1"/>
    <col min="8962" max="8962" width="7.6640625" style="145" bestFit="1" customWidth="1"/>
    <col min="8963" max="8963" width="13.1640625" style="145" bestFit="1" customWidth="1"/>
    <col min="8964" max="8964" width="9.5" style="145" bestFit="1" customWidth="1"/>
    <col min="8965" max="9210" width="9.1640625" style="145"/>
    <col min="9211" max="9211" width="16.33203125" style="145" bestFit="1" customWidth="1"/>
    <col min="9212" max="9212" width="31.6640625" style="145" bestFit="1" customWidth="1"/>
    <col min="9213" max="9213" width="9.1640625" style="145" bestFit="1" customWidth="1"/>
    <col min="9214" max="9214" width="11.5" style="145" bestFit="1" customWidth="1"/>
    <col min="9215" max="9215" width="8.33203125" style="145" bestFit="1" customWidth="1"/>
    <col min="9216" max="9216" width="14.1640625" style="145" bestFit="1" customWidth="1"/>
    <col min="9217" max="9217" width="5.6640625" style="145" customWidth="1"/>
    <col min="9218" max="9218" width="7.6640625" style="145" bestFit="1" customWidth="1"/>
    <col min="9219" max="9219" width="13.1640625" style="145" bestFit="1" customWidth="1"/>
    <col min="9220" max="9220" width="9.5" style="145" bestFit="1" customWidth="1"/>
    <col min="9221" max="9466" width="9.1640625" style="145"/>
    <col min="9467" max="9467" width="16.33203125" style="145" bestFit="1" customWidth="1"/>
    <col min="9468" max="9468" width="31.6640625" style="145" bestFit="1" customWidth="1"/>
    <col min="9469" max="9469" width="9.1640625" style="145" bestFit="1" customWidth="1"/>
    <col min="9470" max="9470" width="11.5" style="145" bestFit="1" customWidth="1"/>
    <col min="9471" max="9471" width="8.33203125" style="145" bestFit="1" customWidth="1"/>
    <col min="9472" max="9472" width="14.1640625" style="145" bestFit="1" customWidth="1"/>
    <col min="9473" max="9473" width="5.6640625" style="145" customWidth="1"/>
    <col min="9474" max="9474" width="7.6640625" style="145" bestFit="1" customWidth="1"/>
    <col min="9475" max="9475" width="13.1640625" style="145" bestFit="1" customWidth="1"/>
    <col min="9476" max="9476" width="9.5" style="145" bestFit="1" customWidth="1"/>
    <col min="9477" max="9722" width="9.1640625" style="145"/>
    <col min="9723" max="9723" width="16.33203125" style="145" bestFit="1" customWidth="1"/>
    <col min="9724" max="9724" width="31.6640625" style="145" bestFit="1" customWidth="1"/>
    <col min="9725" max="9725" width="9.1640625" style="145" bestFit="1" customWidth="1"/>
    <col min="9726" max="9726" width="11.5" style="145" bestFit="1" customWidth="1"/>
    <col min="9727" max="9727" width="8.33203125" style="145" bestFit="1" customWidth="1"/>
    <col min="9728" max="9728" width="14.1640625" style="145" bestFit="1" customWidth="1"/>
    <col min="9729" max="9729" width="5.6640625" style="145" customWidth="1"/>
    <col min="9730" max="9730" width="7.6640625" style="145" bestFit="1" customWidth="1"/>
    <col min="9731" max="9731" width="13.1640625" style="145" bestFit="1" customWidth="1"/>
    <col min="9732" max="9732" width="9.5" style="145" bestFit="1" customWidth="1"/>
    <col min="9733" max="9978" width="9.1640625" style="145"/>
    <col min="9979" max="9979" width="16.33203125" style="145" bestFit="1" customWidth="1"/>
    <col min="9980" max="9980" width="31.6640625" style="145" bestFit="1" customWidth="1"/>
    <col min="9981" max="9981" width="9.1640625" style="145" bestFit="1" customWidth="1"/>
    <col min="9982" max="9982" width="11.5" style="145" bestFit="1" customWidth="1"/>
    <col min="9983" max="9983" width="8.33203125" style="145" bestFit="1" customWidth="1"/>
    <col min="9984" max="9984" width="14.1640625" style="145" bestFit="1" customWidth="1"/>
    <col min="9985" max="9985" width="5.6640625" style="145" customWidth="1"/>
    <col min="9986" max="9986" width="7.6640625" style="145" bestFit="1" customWidth="1"/>
    <col min="9987" max="9987" width="13.1640625" style="145" bestFit="1" customWidth="1"/>
    <col min="9988" max="9988" width="9.5" style="145" bestFit="1" customWidth="1"/>
    <col min="9989" max="10234" width="9.1640625" style="145"/>
    <col min="10235" max="10235" width="16.33203125" style="145" bestFit="1" customWidth="1"/>
    <col min="10236" max="10236" width="31.6640625" style="145" bestFit="1" customWidth="1"/>
    <col min="10237" max="10237" width="9.1640625" style="145" bestFit="1" customWidth="1"/>
    <col min="10238" max="10238" width="11.5" style="145" bestFit="1" customWidth="1"/>
    <col min="10239" max="10239" width="8.33203125" style="145" bestFit="1" customWidth="1"/>
    <col min="10240" max="10240" width="14.1640625" style="145" bestFit="1" customWidth="1"/>
    <col min="10241" max="10241" width="5.6640625" style="145" customWidth="1"/>
    <col min="10242" max="10242" width="7.6640625" style="145" bestFit="1" customWidth="1"/>
    <col min="10243" max="10243" width="13.1640625" style="145" bestFit="1" customWidth="1"/>
    <col min="10244" max="10244" width="9.5" style="145" bestFit="1" customWidth="1"/>
    <col min="10245" max="10490" width="9.1640625" style="145"/>
    <col min="10491" max="10491" width="16.33203125" style="145" bestFit="1" customWidth="1"/>
    <col min="10492" max="10492" width="31.6640625" style="145" bestFit="1" customWidth="1"/>
    <col min="10493" max="10493" width="9.1640625" style="145" bestFit="1" customWidth="1"/>
    <col min="10494" max="10494" width="11.5" style="145" bestFit="1" customWidth="1"/>
    <col min="10495" max="10495" width="8.33203125" style="145" bestFit="1" customWidth="1"/>
    <col min="10496" max="10496" width="14.1640625" style="145" bestFit="1" customWidth="1"/>
    <col min="10497" max="10497" width="5.6640625" style="145" customWidth="1"/>
    <col min="10498" max="10498" width="7.6640625" style="145" bestFit="1" customWidth="1"/>
    <col min="10499" max="10499" width="13.1640625" style="145" bestFit="1" customWidth="1"/>
    <col min="10500" max="10500" width="9.5" style="145" bestFit="1" customWidth="1"/>
    <col min="10501" max="10746" width="9.1640625" style="145"/>
    <col min="10747" max="10747" width="16.33203125" style="145" bestFit="1" customWidth="1"/>
    <col min="10748" max="10748" width="31.6640625" style="145" bestFit="1" customWidth="1"/>
    <col min="10749" max="10749" width="9.1640625" style="145" bestFit="1" customWidth="1"/>
    <col min="10750" max="10750" width="11.5" style="145" bestFit="1" customWidth="1"/>
    <col min="10751" max="10751" width="8.33203125" style="145" bestFit="1" customWidth="1"/>
    <col min="10752" max="10752" width="14.1640625" style="145" bestFit="1" customWidth="1"/>
    <col min="10753" max="10753" width="5.6640625" style="145" customWidth="1"/>
    <col min="10754" max="10754" width="7.6640625" style="145" bestFit="1" customWidth="1"/>
    <col min="10755" max="10755" width="13.1640625" style="145" bestFit="1" customWidth="1"/>
    <col min="10756" max="10756" width="9.5" style="145" bestFit="1" customWidth="1"/>
    <col min="10757" max="11002" width="9.1640625" style="145"/>
    <col min="11003" max="11003" width="16.33203125" style="145" bestFit="1" customWidth="1"/>
    <col min="11004" max="11004" width="31.6640625" style="145" bestFit="1" customWidth="1"/>
    <col min="11005" max="11005" width="9.1640625" style="145" bestFit="1" customWidth="1"/>
    <col min="11006" max="11006" width="11.5" style="145" bestFit="1" customWidth="1"/>
    <col min="11007" max="11007" width="8.33203125" style="145" bestFit="1" customWidth="1"/>
    <col min="11008" max="11008" width="14.1640625" style="145" bestFit="1" customWidth="1"/>
    <col min="11009" max="11009" width="5.6640625" style="145" customWidth="1"/>
    <col min="11010" max="11010" width="7.6640625" style="145" bestFit="1" customWidth="1"/>
    <col min="11011" max="11011" width="13.1640625" style="145" bestFit="1" customWidth="1"/>
    <col min="11012" max="11012" width="9.5" style="145" bestFit="1" customWidth="1"/>
    <col min="11013" max="11258" width="9.1640625" style="145"/>
    <col min="11259" max="11259" width="16.33203125" style="145" bestFit="1" customWidth="1"/>
    <col min="11260" max="11260" width="31.6640625" style="145" bestFit="1" customWidth="1"/>
    <col min="11261" max="11261" width="9.1640625" style="145" bestFit="1" customWidth="1"/>
    <col min="11262" max="11262" width="11.5" style="145" bestFit="1" customWidth="1"/>
    <col min="11263" max="11263" width="8.33203125" style="145" bestFit="1" customWidth="1"/>
    <col min="11264" max="11264" width="14.1640625" style="145" bestFit="1" customWidth="1"/>
    <col min="11265" max="11265" width="5.6640625" style="145" customWidth="1"/>
    <col min="11266" max="11266" width="7.6640625" style="145" bestFit="1" customWidth="1"/>
    <col min="11267" max="11267" width="13.1640625" style="145" bestFit="1" customWidth="1"/>
    <col min="11268" max="11268" width="9.5" style="145" bestFit="1" customWidth="1"/>
    <col min="11269" max="11514" width="9.1640625" style="145"/>
    <col min="11515" max="11515" width="16.33203125" style="145" bestFit="1" customWidth="1"/>
    <col min="11516" max="11516" width="31.6640625" style="145" bestFit="1" customWidth="1"/>
    <col min="11517" max="11517" width="9.1640625" style="145" bestFit="1" customWidth="1"/>
    <col min="11518" max="11518" width="11.5" style="145" bestFit="1" customWidth="1"/>
    <col min="11519" max="11519" width="8.33203125" style="145" bestFit="1" customWidth="1"/>
    <col min="11520" max="11520" width="14.1640625" style="145" bestFit="1" customWidth="1"/>
    <col min="11521" max="11521" width="5.6640625" style="145" customWidth="1"/>
    <col min="11522" max="11522" width="7.6640625" style="145" bestFit="1" customWidth="1"/>
    <col min="11523" max="11523" width="13.1640625" style="145" bestFit="1" customWidth="1"/>
    <col min="11524" max="11524" width="9.5" style="145" bestFit="1" customWidth="1"/>
    <col min="11525" max="11770" width="9.1640625" style="145"/>
    <col min="11771" max="11771" width="16.33203125" style="145" bestFit="1" customWidth="1"/>
    <col min="11772" max="11772" width="31.6640625" style="145" bestFit="1" customWidth="1"/>
    <col min="11773" max="11773" width="9.1640625" style="145" bestFit="1" customWidth="1"/>
    <col min="11774" max="11774" width="11.5" style="145" bestFit="1" customWidth="1"/>
    <col min="11775" max="11775" width="8.33203125" style="145" bestFit="1" customWidth="1"/>
    <col min="11776" max="11776" width="14.1640625" style="145" bestFit="1" customWidth="1"/>
    <col min="11777" max="11777" width="5.6640625" style="145" customWidth="1"/>
    <col min="11778" max="11778" width="7.6640625" style="145" bestFit="1" customWidth="1"/>
    <col min="11779" max="11779" width="13.1640625" style="145" bestFit="1" customWidth="1"/>
    <col min="11780" max="11780" width="9.5" style="145" bestFit="1" customWidth="1"/>
    <col min="11781" max="12026" width="9.1640625" style="145"/>
    <col min="12027" max="12027" width="16.33203125" style="145" bestFit="1" customWidth="1"/>
    <col min="12028" max="12028" width="31.6640625" style="145" bestFit="1" customWidth="1"/>
    <col min="12029" max="12029" width="9.1640625" style="145" bestFit="1" customWidth="1"/>
    <col min="12030" max="12030" width="11.5" style="145" bestFit="1" customWidth="1"/>
    <col min="12031" max="12031" width="8.33203125" style="145" bestFit="1" customWidth="1"/>
    <col min="12032" max="12032" width="14.1640625" style="145" bestFit="1" customWidth="1"/>
    <col min="12033" max="12033" width="5.6640625" style="145" customWidth="1"/>
    <col min="12034" max="12034" width="7.6640625" style="145" bestFit="1" customWidth="1"/>
    <col min="12035" max="12035" width="13.1640625" style="145" bestFit="1" customWidth="1"/>
    <col min="12036" max="12036" width="9.5" style="145" bestFit="1" customWidth="1"/>
    <col min="12037" max="12282" width="9.1640625" style="145"/>
    <col min="12283" max="12283" width="16.33203125" style="145" bestFit="1" customWidth="1"/>
    <col min="12284" max="12284" width="31.6640625" style="145" bestFit="1" customWidth="1"/>
    <col min="12285" max="12285" width="9.1640625" style="145" bestFit="1" customWidth="1"/>
    <col min="12286" max="12286" width="11.5" style="145" bestFit="1" customWidth="1"/>
    <col min="12287" max="12287" width="8.33203125" style="145" bestFit="1" customWidth="1"/>
    <col min="12288" max="12288" width="14.1640625" style="145" bestFit="1" customWidth="1"/>
    <col min="12289" max="12289" width="5.6640625" style="145" customWidth="1"/>
    <col min="12290" max="12290" width="7.6640625" style="145" bestFit="1" customWidth="1"/>
    <col min="12291" max="12291" width="13.1640625" style="145" bestFit="1" customWidth="1"/>
    <col min="12292" max="12292" width="9.5" style="145" bestFit="1" customWidth="1"/>
    <col min="12293" max="12538" width="9.1640625" style="145"/>
    <col min="12539" max="12539" width="16.33203125" style="145" bestFit="1" customWidth="1"/>
    <col min="12540" max="12540" width="31.6640625" style="145" bestFit="1" customWidth="1"/>
    <col min="12541" max="12541" width="9.1640625" style="145" bestFit="1" customWidth="1"/>
    <col min="12542" max="12542" width="11.5" style="145" bestFit="1" customWidth="1"/>
    <col min="12543" max="12543" width="8.33203125" style="145" bestFit="1" customWidth="1"/>
    <col min="12544" max="12544" width="14.1640625" style="145" bestFit="1" customWidth="1"/>
    <col min="12545" max="12545" width="5.6640625" style="145" customWidth="1"/>
    <col min="12546" max="12546" width="7.6640625" style="145" bestFit="1" customWidth="1"/>
    <col min="12547" max="12547" width="13.1640625" style="145" bestFit="1" customWidth="1"/>
    <col min="12548" max="12548" width="9.5" style="145" bestFit="1" customWidth="1"/>
    <col min="12549" max="12794" width="9.1640625" style="145"/>
    <col min="12795" max="12795" width="16.33203125" style="145" bestFit="1" customWidth="1"/>
    <col min="12796" max="12796" width="31.6640625" style="145" bestFit="1" customWidth="1"/>
    <col min="12797" max="12797" width="9.1640625" style="145" bestFit="1" customWidth="1"/>
    <col min="12798" max="12798" width="11.5" style="145" bestFit="1" customWidth="1"/>
    <col min="12799" max="12799" width="8.33203125" style="145" bestFit="1" customWidth="1"/>
    <col min="12800" max="12800" width="14.1640625" style="145" bestFit="1" customWidth="1"/>
    <col min="12801" max="12801" width="5.6640625" style="145" customWidth="1"/>
    <col min="12802" max="12802" width="7.6640625" style="145" bestFit="1" customWidth="1"/>
    <col min="12803" max="12803" width="13.1640625" style="145" bestFit="1" customWidth="1"/>
    <col min="12804" max="12804" width="9.5" style="145" bestFit="1" customWidth="1"/>
    <col min="12805" max="13050" width="9.1640625" style="145"/>
    <col min="13051" max="13051" width="16.33203125" style="145" bestFit="1" customWidth="1"/>
    <col min="13052" max="13052" width="31.6640625" style="145" bestFit="1" customWidth="1"/>
    <col min="13053" max="13053" width="9.1640625" style="145" bestFit="1" customWidth="1"/>
    <col min="13054" max="13054" width="11.5" style="145" bestFit="1" customWidth="1"/>
    <col min="13055" max="13055" width="8.33203125" style="145" bestFit="1" customWidth="1"/>
    <col min="13056" max="13056" width="14.1640625" style="145" bestFit="1" customWidth="1"/>
    <col min="13057" max="13057" width="5.6640625" style="145" customWidth="1"/>
    <col min="13058" max="13058" width="7.6640625" style="145" bestFit="1" customWidth="1"/>
    <col min="13059" max="13059" width="13.1640625" style="145" bestFit="1" customWidth="1"/>
    <col min="13060" max="13060" width="9.5" style="145" bestFit="1" customWidth="1"/>
    <col min="13061" max="13306" width="9.1640625" style="145"/>
    <col min="13307" max="13307" width="16.33203125" style="145" bestFit="1" customWidth="1"/>
    <col min="13308" max="13308" width="31.6640625" style="145" bestFit="1" customWidth="1"/>
    <col min="13309" max="13309" width="9.1640625" style="145" bestFit="1" customWidth="1"/>
    <col min="13310" max="13310" width="11.5" style="145" bestFit="1" customWidth="1"/>
    <col min="13311" max="13311" width="8.33203125" style="145" bestFit="1" customWidth="1"/>
    <col min="13312" max="13312" width="14.1640625" style="145" bestFit="1" customWidth="1"/>
    <col min="13313" max="13313" width="5.6640625" style="145" customWidth="1"/>
    <col min="13314" max="13314" width="7.6640625" style="145" bestFit="1" customWidth="1"/>
    <col min="13315" max="13315" width="13.1640625" style="145" bestFit="1" customWidth="1"/>
    <col min="13316" max="13316" width="9.5" style="145" bestFit="1" customWidth="1"/>
    <col min="13317" max="13562" width="9.1640625" style="145"/>
    <col min="13563" max="13563" width="16.33203125" style="145" bestFit="1" customWidth="1"/>
    <col min="13564" max="13564" width="31.6640625" style="145" bestFit="1" customWidth="1"/>
    <col min="13565" max="13565" width="9.1640625" style="145" bestFit="1" customWidth="1"/>
    <col min="13566" max="13566" width="11.5" style="145" bestFit="1" customWidth="1"/>
    <col min="13567" max="13567" width="8.33203125" style="145" bestFit="1" customWidth="1"/>
    <col min="13568" max="13568" width="14.1640625" style="145" bestFit="1" customWidth="1"/>
    <col min="13569" max="13569" width="5.6640625" style="145" customWidth="1"/>
    <col min="13570" max="13570" width="7.6640625" style="145" bestFit="1" customWidth="1"/>
    <col min="13571" max="13571" width="13.1640625" style="145" bestFit="1" customWidth="1"/>
    <col min="13572" max="13572" width="9.5" style="145" bestFit="1" customWidth="1"/>
    <col min="13573" max="13818" width="9.1640625" style="145"/>
    <col min="13819" max="13819" width="16.33203125" style="145" bestFit="1" customWidth="1"/>
    <col min="13820" max="13820" width="31.6640625" style="145" bestFit="1" customWidth="1"/>
    <col min="13821" max="13821" width="9.1640625" style="145" bestFit="1" customWidth="1"/>
    <col min="13822" max="13822" width="11.5" style="145" bestFit="1" customWidth="1"/>
    <col min="13823" max="13823" width="8.33203125" style="145" bestFit="1" customWidth="1"/>
    <col min="13824" max="13824" width="14.1640625" style="145" bestFit="1" customWidth="1"/>
    <col min="13825" max="13825" width="5.6640625" style="145" customWidth="1"/>
    <col min="13826" max="13826" width="7.6640625" style="145" bestFit="1" customWidth="1"/>
    <col min="13827" max="13827" width="13.1640625" style="145" bestFit="1" customWidth="1"/>
    <col min="13828" max="13828" width="9.5" style="145" bestFit="1" customWidth="1"/>
    <col min="13829" max="14074" width="9.1640625" style="145"/>
    <col min="14075" max="14075" width="16.33203125" style="145" bestFit="1" customWidth="1"/>
    <col min="14076" max="14076" width="31.6640625" style="145" bestFit="1" customWidth="1"/>
    <col min="14077" max="14077" width="9.1640625" style="145" bestFit="1" customWidth="1"/>
    <col min="14078" max="14078" width="11.5" style="145" bestFit="1" customWidth="1"/>
    <col min="14079" max="14079" width="8.33203125" style="145" bestFit="1" customWidth="1"/>
    <col min="14080" max="14080" width="14.1640625" style="145" bestFit="1" customWidth="1"/>
    <col min="14081" max="14081" width="5.6640625" style="145" customWidth="1"/>
    <col min="14082" max="14082" width="7.6640625" style="145" bestFit="1" customWidth="1"/>
    <col min="14083" max="14083" width="13.1640625" style="145" bestFit="1" customWidth="1"/>
    <col min="14084" max="14084" width="9.5" style="145" bestFit="1" customWidth="1"/>
    <col min="14085" max="14330" width="9.1640625" style="145"/>
    <col min="14331" max="14331" width="16.33203125" style="145" bestFit="1" customWidth="1"/>
    <col min="14332" max="14332" width="31.6640625" style="145" bestFit="1" customWidth="1"/>
    <col min="14333" max="14333" width="9.1640625" style="145" bestFit="1" customWidth="1"/>
    <col min="14334" max="14334" width="11.5" style="145" bestFit="1" customWidth="1"/>
    <col min="14335" max="14335" width="8.33203125" style="145" bestFit="1" customWidth="1"/>
    <col min="14336" max="14336" width="14.1640625" style="145" bestFit="1" customWidth="1"/>
    <col min="14337" max="14337" width="5.6640625" style="145" customWidth="1"/>
    <col min="14338" max="14338" width="7.6640625" style="145" bestFit="1" customWidth="1"/>
    <col min="14339" max="14339" width="13.1640625" style="145" bestFit="1" customWidth="1"/>
    <col min="14340" max="14340" width="9.5" style="145" bestFit="1" customWidth="1"/>
    <col min="14341" max="14586" width="9.1640625" style="145"/>
    <col min="14587" max="14587" width="16.33203125" style="145" bestFit="1" customWidth="1"/>
    <col min="14588" max="14588" width="31.6640625" style="145" bestFit="1" customWidth="1"/>
    <col min="14589" max="14589" width="9.1640625" style="145" bestFit="1" customWidth="1"/>
    <col min="14590" max="14590" width="11.5" style="145" bestFit="1" customWidth="1"/>
    <col min="14591" max="14591" width="8.33203125" style="145" bestFit="1" customWidth="1"/>
    <col min="14592" max="14592" width="14.1640625" style="145" bestFit="1" customWidth="1"/>
    <col min="14593" max="14593" width="5.6640625" style="145" customWidth="1"/>
    <col min="14594" max="14594" width="7.6640625" style="145" bestFit="1" customWidth="1"/>
    <col min="14595" max="14595" width="13.1640625" style="145" bestFit="1" customWidth="1"/>
    <col min="14596" max="14596" width="9.5" style="145" bestFit="1" customWidth="1"/>
    <col min="14597" max="14842" width="9.1640625" style="145"/>
    <col min="14843" max="14843" width="16.33203125" style="145" bestFit="1" customWidth="1"/>
    <col min="14844" max="14844" width="31.6640625" style="145" bestFit="1" customWidth="1"/>
    <col min="14845" max="14845" width="9.1640625" style="145" bestFit="1" customWidth="1"/>
    <col min="14846" max="14846" width="11.5" style="145" bestFit="1" customWidth="1"/>
    <col min="14847" max="14847" width="8.33203125" style="145" bestFit="1" customWidth="1"/>
    <col min="14848" max="14848" width="14.1640625" style="145" bestFit="1" customWidth="1"/>
    <col min="14849" max="14849" width="5.6640625" style="145" customWidth="1"/>
    <col min="14850" max="14850" width="7.6640625" style="145" bestFit="1" customWidth="1"/>
    <col min="14851" max="14851" width="13.1640625" style="145" bestFit="1" customWidth="1"/>
    <col min="14852" max="14852" width="9.5" style="145" bestFit="1" customWidth="1"/>
    <col min="14853" max="15098" width="9.1640625" style="145"/>
    <col min="15099" max="15099" width="16.33203125" style="145" bestFit="1" customWidth="1"/>
    <col min="15100" max="15100" width="31.6640625" style="145" bestFit="1" customWidth="1"/>
    <col min="15101" max="15101" width="9.1640625" style="145" bestFit="1" customWidth="1"/>
    <col min="15102" max="15102" width="11.5" style="145" bestFit="1" customWidth="1"/>
    <col min="15103" max="15103" width="8.33203125" style="145" bestFit="1" customWidth="1"/>
    <col min="15104" max="15104" width="14.1640625" style="145" bestFit="1" customWidth="1"/>
    <col min="15105" max="15105" width="5.6640625" style="145" customWidth="1"/>
    <col min="15106" max="15106" width="7.6640625" style="145" bestFit="1" customWidth="1"/>
    <col min="15107" max="15107" width="13.1640625" style="145" bestFit="1" customWidth="1"/>
    <col min="15108" max="15108" width="9.5" style="145" bestFit="1" customWidth="1"/>
    <col min="15109" max="15354" width="9.1640625" style="145"/>
    <col min="15355" max="15355" width="16.33203125" style="145" bestFit="1" customWidth="1"/>
    <col min="15356" max="15356" width="31.6640625" style="145" bestFit="1" customWidth="1"/>
    <col min="15357" max="15357" width="9.1640625" style="145" bestFit="1" customWidth="1"/>
    <col min="15358" max="15358" width="11.5" style="145" bestFit="1" customWidth="1"/>
    <col min="15359" max="15359" width="8.33203125" style="145" bestFit="1" customWidth="1"/>
    <col min="15360" max="15360" width="14.1640625" style="145" bestFit="1" customWidth="1"/>
    <col min="15361" max="15361" width="5.6640625" style="145" customWidth="1"/>
    <col min="15362" max="15362" width="7.6640625" style="145" bestFit="1" customWidth="1"/>
    <col min="15363" max="15363" width="13.1640625" style="145" bestFit="1" customWidth="1"/>
    <col min="15364" max="15364" width="9.5" style="145" bestFit="1" customWidth="1"/>
    <col min="15365" max="15610" width="9.1640625" style="145"/>
    <col min="15611" max="15611" width="16.33203125" style="145" bestFit="1" customWidth="1"/>
    <col min="15612" max="15612" width="31.6640625" style="145" bestFit="1" customWidth="1"/>
    <col min="15613" max="15613" width="9.1640625" style="145" bestFit="1" customWidth="1"/>
    <col min="15614" max="15614" width="11.5" style="145" bestFit="1" customWidth="1"/>
    <col min="15615" max="15615" width="8.33203125" style="145" bestFit="1" customWidth="1"/>
    <col min="15616" max="15616" width="14.1640625" style="145" bestFit="1" customWidth="1"/>
    <col min="15617" max="15617" width="5.6640625" style="145" customWidth="1"/>
    <col min="15618" max="15618" width="7.6640625" style="145" bestFit="1" customWidth="1"/>
    <col min="15619" max="15619" width="13.1640625" style="145" bestFit="1" customWidth="1"/>
    <col min="15620" max="15620" width="9.5" style="145" bestFit="1" customWidth="1"/>
    <col min="15621" max="15866" width="9.1640625" style="145"/>
    <col min="15867" max="15867" width="16.33203125" style="145" bestFit="1" customWidth="1"/>
    <col min="15868" max="15868" width="31.6640625" style="145" bestFit="1" customWidth="1"/>
    <col min="15869" max="15869" width="9.1640625" style="145" bestFit="1" customWidth="1"/>
    <col min="15870" max="15870" width="11.5" style="145" bestFit="1" customWidth="1"/>
    <col min="15871" max="15871" width="8.33203125" style="145" bestFit="1" customWidth="1"/>
    <col min="15872" max="15872" width="14.1640625" style="145" bestFit="1" customWidth="1"/>
    <col min="15873" max="15873" width="5.6640625" style="145" customWidth="1"/>
    <col min="15874" max="15874" width="7.6640625" style="145" bestFit="1" customWidth="1"/>
    <col min="15875" max="15875" width="13.1640625" style="145" bestFit="1" customWidth="1"/>
    <col min="15876" max="15876" width="9.5" style="145" bestFit="1" customWidth="1"/>
    <col min="15877" max="16122" width="9.1640625" style="145"/>
    <col min="16123" max="16123" width="16.33203125" style="145" bestFit="1" customWidth="1"/>
    <col min="16124" max="16124" width="31.6640625" style="145" bestFit="1" customWidth="1"/>
    <col min="16125" max="16125" width="9.1640625" style="145" bestFit="1" customWidth="1"/>
    <col min="16126" max="16126" width="11.5" style="145" bestFit="1" customWidth="1"/>
    <col min="16127" max="16127" width="8.33203125" style="145" bestFit="1" customWidth="1"/>
    <col min="16128" max="16128" width="14.1640625" style="145" bestFit="1" customWidth="1"/>
    <col min="16129" max="16129" width="5.6640625" style="145" customWidth="1"/>
    <col min="16130" max="16130" width="7.6640625" style="145" bestFit="1" customWidth="1"/>
    <col min="16131" max="16131" width="13.1640625" style="145" bestFit="1" customWidth="1"/>
    <col min="16132" max="16132" width="9.5" style="145" bestFit="1" customWidth="1"/>
    <col min="16133" max="16384" width="9.1640625" style="145"/>
  </cols>
  <sheetData>
    <row r="1" spans="1:14" ht="16" thickBot="1" x14ac:dyDescent="0.25">
      <c r="A1" s="188"/>
      <c r="B1" s="188"/>
      <c r="C1" s="188"/>
      <c r="D1" s="188"/>
      <c r="E1" s="188"/>
      <c r="F1" s="188"/>
      <c r="G1" s="188"/>
      <c r="H1" s="188"/>
      <c r="I1" s="188"/>
      <c r="L1" s="145"/>
      <c r="M1" s="145"/>
      <c r="N1" s="145"/>
    </row>
    <row r="2" spans="1:14" ht="20" customHeight="1" x14ac:dyDescent="0.2">
      <c r="A2" s="462" t="s">
        <v>165</v>
      </c>
      <c r="B2" s="227" t="s">
        <v>147</v>
      </c>
      <c r="C2" s="190"/>
      <c r="D2" s="190"/>
      <c r="E2" s="190"/>
      <c r="F2" s="206"/>
      <c r="G2" s="188"/>
      <c r="H2" s="188"/>
      <c r="I2" s="188"/>
      <c r="L2" s="145"/>
      <c r="M2" s="145"/>
      <c r="N2" s="145"/>
    </row>
    <row r="3" spans="1:14" ht="16.25" customHeight="1" thickBot="1" x14ac:dyDescent="0.25">
      <c r="A3" s="463"/>
      <c r="B3" s="228" t="s">
        <v>148</v>
      </c>
      <c r="C3" s="305" t="s">
        <v>157</v>
      </c>
      <c r="D3" s="305" t="s">
        <v>158</v>
      </c>
      <c r="E3" s="305" t="s">
        <v>159</v>
      </c>
      <c r="F3" s="229" t="s">
        <v>149</v>
      </c>
      <c r="G3" s="224"/>
      <c r="H3" s="412"/>
      <c r="I3" s="188"/>
      <c r="L3" s="145"/>
      <c r="M3" s="145"/>
      <c r="N3" s="145"/>
    </row>
    <row r="4" spans="1:14" ht="16.25" customHeight="1" thickBot="1" x14ac:dyDescent="0.25">
      <c r="A4" s="463"/>
      <c r="B4" s="314" t="s">
        <v>228</v>
      </c>
      <c r="C4" s="315">
        <v>0.35399999999999998</v>
      </c>
      <c r="D4" s="316">
        <v>1.82</v>
      </c>
      <c r="E4" s="317">
        <v>0.11600000000000001</v>
      </c>
      <c r="F4" s="318">
        <f>D4/(1+(C4)*(1-(E4)))</f>
        <v>1.3862061821749116</v>
      </c>
      <c r="G4" s="225"/>
      <c r="H4" s="188"/>
      <c r="I4" s="188"/>
      <c r="L4" s="145"/>
      <c r="M4" s="145"/>
      <c r="N4" s="145"/>
    </row>
    <row r="5" spans="1:14" ht="15" customHeight="1" x14ac:dyDescent="0.2">
      <c r="A5" s="463"/>
      <c r="B5" s="271" t="s">
        <v>221</v>
      </c>
      <c r="C5" s="306">
        <v>2.0249999999999999</v>
      </c>
      <c r="D5" s="296">
        <v>1.75</v>
      </c>
      <c r="E5" s="307">
        <v>0.13400000000000001</v>
      </c>
      <c r="F5" s="313">
        <f t="shared" ref="F5:F10" si="0">D5/(1+(C5)*(1-(E5)))</f>
        <v>0.63552012783033429</v>
      </c>
      <c r="G5" s="225"/>
      <c r="H5" s="188"/>
      <c r="I5" s="188"/>
      <c r="L5" s="145"/>
      <c r="M5" s="145"/>
      <c r="N5" s="145"/>
    </row>
    <row r="6" spans="1:14" ht="15" customHeight="1" x14ac:dyDescent="0.2">
      <c r="A6" s="463"/>
      <c r="B6" s="292" t="s">
        <v>222</v>
      </c>
      <c r="C6" s="308">
        <v>0.61699999999999999</v>
      </c>
      <c r="D6" s="302">
        <v>1.91</v>
      </c>
      <c r="E6" s="293">
        <v>0.122</v>
      </c>
      <c r="F6" s="230">
        <f t="shared" si="0"/>
        <v>1.2388712391177159</v>
      </c>
      <c r="G6" s="225"/>
      <c r="H6" s="188"/>
      <c r="I6" s="188"/>
      <c r="L6" s="145"/>
      <c r="M6" s="145"/>
      <c r="N6" s="145"/>
    </row>
    <row r="7" spans="1:14" ht="15" customHeight="1" x14ac:dyDescent="0.2">
      <c r="A7" s="463"/>
      <c r="B7" s="271" t="s">
        <v>223</v>
      </c>
      <c r="C7" s="303">
        <v>0.313</v>
      </c>
      <c r="D7" s="296">
        <v>2.04</v>
      </c>
      <c r="E7" s="301">
        <v>0.159</v>
      </c>
      <c r="F7" s="230">
        <f t="shared" si="0"/>
        <v>1.6149039805008261</v>
      </c>
      <c r="G7" s="225"/>
      <c r="H7" s="188"/>
      <c r="I7" s="188"/>
      <c r="L7" s="145"/>
      <c r="M7" s="145"/>
      <c r="N7" s="145"/>
    </row>
    <row r="8" spans="1:14" ht="15" customHeight="1" x14ac:dyDescent="0.2">
      <c r="A8" s="463"/>
      <c r="B8" s="385" t="s">
        <v>314</v>
      </c>
      <c r="C8" s="293">
        <v>0.245</v>
      </c>
      <c r="D8" s="294">
        <v>1.87</v>
      </c>
      <c r="E8" s="293">
        <v>5.6000000000000001E-2</v>
      </c>
      <c r="F8" s="230">
        <f t="shared" si="0"/>
        <v>1.5187447209408098</v>
      </c>
      <c r="G8" s="225"/>
      <c r="H8" s="188"/>
      <c r="I8" s="188"/>
      <c r="L8" s="145"/>
      <c r="M8" s="145"/>
      <c r="N8" s="145"/>
    </row>
    <row r="9" spans="1:14" ht="15" customHeight="1" x14ac:dyDescent="0.2">
      <c r="A9" s="463"/>
      <c r="B9" s="305" t="s">
        <v>315</v>
      </c>
      <c r="C9" s="297">
        <v>0.01</v>
      </c>
      <c r="D9" s="294">
        <v>1.87</v>
      </c>
      <c r="E9" s="309">
        <v>8.1000000000000003E-2</v>
      </c>
      <c r="F9" s="230">
        <f t="shared" si="0"/>
        <v>1.8529711947205185</v>
      </c>
      <c r="G9" s="225"/>
      <c r="H9" s="188"/>
      <c r="I9" s="188"/>
      <c r="L9" s="145"/>
      <c r="M9" s="145"/>
      <c r="N9" s="145"/>
    </row>
    <row r="10" spans="1:14" ht="15" customHeight="1" x14ac:dyDescent="0.2">
      <c r="A10" s="463"/>
      <c r="B10" s="305" t="s">
        <v>316</v>
      </c>
      <c r="C10" s="301">
        <v>2.9000000000000001E-2</v>
      </c>
      <c r="D10" s="296">
        <v>1.7</v>
      </c>
      <c r="E10" s="301">
        <v>0.14000000000000001</v>
      </c>
      <c r="F10" s="230">
        <f t="shared" si="0"/>
        <v>1.6586336761176264</v>
      </c>
      <c r="G10" s="225"/>
      <c r="H10" s="188"/>
      <c r="I10" s="188"/>
      <c r="L10" s="145"/>
      <c r="M10" s="145"/>
      <c r="N10" s="145"/>
    </row>
    <row r="11" spans="1:14" ht="15" customHeight="1" x14ac:dyDescent="0.2">
      <c r="A11" s="463"/>
      <c r="F11" s="230"/>
      <c r="G11" s="188"/>
      <c r="H11" s="188"/>
      <c r="I11" s="188"/>
      <c r="L11" s="145"/>
      <c r="M11" s="145"/>
      <c r="N11" s="145"/>
    </row>
    <row r="12" spans="1:14" ht="15" customHeight="1" x14ac:dyDescent="0.2">
      <c r="A12" s="463"/>
      <c r="B12" s="271"/>
      <c r="C12" s="301"/>
      <c r="D12" s="300"/>
      <c r="E12" s="301"/>
      <c r="F12" s="230"/>
      <c r="G12" s="225"/>
      <c r="H12" s="188"/>
      <c r="I12" s="188"/>
      <c r="L12" s="145"/>
      <c r="M12" s="145"/>
      <c r="N12" s="145"/>
    </row>
    <row r="13" spans="1:14" ht="15" customHeight="1" x14ac:dyDescent="0.2">
      <c r="A13" s="463"/>
      <c r="B13" s="292"/>
      <c r="C13" s="297"/>
      <c r="D13" s="294"/>
      <c r="E13" s="293"/>
      <c r="F13" s="230"/>
      <c r="G13" s="225"/>
      <c r="H13" s="188"/>
      <c r="I13" s="188"/>
      <c r="L13" s="145"/>
      <c r="M13" s="145"/>
      <c r="N13" s="145"/>
    </row>
    <row r="14" spans="1:14" ht="15" customHeight="1" x14ac:dyDescent="0.2">
      <c r="A14" s="463"/>
      <c r="B14" s="271"/>
      <c r="C14" s="299"/>
      <c r="D14" s="296"/>
      <c r="E14" s="301"/>
      <c r="F14" s="230"/>
      <c r="G14" s="225"/>
      <c r="H14" s="188"/>
      <c r="I14" s="188"/>
      <c r="L14" s="145"/>
      <c r="M14" s="145"/>
      <c r="N14" s="145"/>
    </row>
    <row r="15" spans="1:14" ht="15" customHeight="1" x14ac:dyDescent="0.2">
      <c r="A15" s="463"/>
      <c r="B15" s="292"/>
      <c r="C15" s="295"/>
      <c r="D15" s="302"/>
      <c r="E15" s="310"/>
      <c r="F15" s="230"/>
      <c r="G15" s="225"/>
      <c r="H15" s="188"/>
      <c r="I15" s="188"/>
      <c r="L15" s="145"/>
      <c r="M15" s="145"/>
      <c r="N15" s="145"/>
    </row>
    <row r="16" spans="1:14" ht="15" customHeight="1" x14ac:dyDescent="0.2">
      <c r="A16" s="463"/>
      <c r="B16" s="271"/>
      <c r="C16" s="299"/>
      <c r="D16" s="300"/>
      <c r="E16" s="301"/>
      <c r="F16" s="230"/>
      <c r="G16" s="225"/>
      <c r="H16" s="188"/>
      <c r="I16" s="188"/>
      <c r="L16" s="145"/>
      <c r="M16" s="145"/>
      <c r="N16" s="145"/>
    </row>
    <row r="17" spans="1:14" ht="15" customHeight="1" x14ac:dyDescent="0.2">
      <c r="A17" s="463"/>
      <c r="B17" s="292"/>
      <c r="C17" s="293"/>
      <c r="D17" s="298"/>
      <c r="E17" s="293"/>
      <c r="F17" s="230"/>
      <c r="G17" s="225"/>
      <c r="H17" s="188"/>
      <c r="I17" s="188"/>
      <c r="L17" s="145"/>
      <c r="M17" s="145"/>
      <c r="N17" s="145"/>
    </row>
    <row r="18" spans="1:14" ht="15" customHeight="1" thickBot="1" x14ac:dyDescent="0.25">
      <c r="A18" s="463"/>
      <c r="B18" s="311"/>
      <c r="C18" s="312"/>
      <c r="D18" s="312"/>
      <c r="E18" s="231" t="s">
        <v>61</v>
      </c>
      <c r="F18" s="232">
        <f>AVERAGE(F4:F11)</f>
        <v>1.4151215887718203</v>
      </c>
      <c r="G18" s="225"/>
      <c r="H18" s="188"/>
      <c r="I18" s="188"/>
      <c r="L18" s="145"/>
      <c r="M18" s="145"/>
      <c r="N18" s="145"/>
    </row>
    <row r="19" spans="1:14" ht="16.25" customHeight="1" thickBot="1" x14ac:dyDescent="0.25">
      <c r="A19" s="464"/>
      <c r="G19" s="225"/>
      <c r="H19" s="188"/>
      <c r="I19" s="188"/>
      <c r="L19" s="145"/>
      <c r="M19" s="145"/>
      <c r="N19" s="145"/>
    </row>
    <row r="20" spans="1:14" ht="15" x14ac:dyDescent="0.2">
      <c r="A20" s="188"/>
      <c r="B20" s="188"/>
      <c r="C20" s="188"/>
      <c r="D20" s="188"/>
      <c r="E20" s="188"/>
      <c r="F20" s="188"/>
      <c r="G20" s="226"/>
      <c r="H20" s="188"/>
      <c r="I20" s="188"/>
      <c r="L20" s="145"/>
      <c r="M20" s="145"/>
      <c r="N20" s="145"/>
    </row>
    <row r="21" spans="1:14" ht="16" thickBot="1" x14ac:dyDescent="0.25">
      <c r="A21" s="188"/>
      <c r="B21" s="188"/>
      <c r="C21" s="188"/>
      <c r="D21" s="188"/>
      <c r="E21" s="188"/>
      <c r="F21" s="188"/>
      <c r="G21" s="188"/>
      <c r="H21" s="188"/>
      <c r="I21" s="188"/>
      <c r="L21" s="145"/>
      <c r="M21" s="145"/>
      <c r="N21" s="145"/>
    </row>
    <row r="22" spans="1:14" ht="16" thickBot="1" x14ac:dyDescent="0.25">
      <c r="A22" s="188"/>
      <c r="B22" s="189"/>
      <c r="C22" s="190" t="s">
        <v>154</v>
      </c>
      <c r="D22" s="190"/>
      <c r="E22" s="190" t="s">
        <v>155</v>
      </c>
      <c r="F22" s="191" t="s">
        <v>156</v>
      </c>
      <c r="G22" s="188"/>
      <c r="H22" s="188"/>
      <c r="I22" s="188"/>
      <c r="L22" s="145"/>
      <c r="M22" s="145"/>
      <c r="N22" s="145"/>
    </row>
    <row r="23" spans="1:14" ht="17" thickBot="1" x14ac:dyDescent="0.25">
      <c r="A23" s="460" t="s">
        <v>229</v>
      </c>
      <c r="B23" s="192" t="s">
        <v>230</v>
      </c>
      <c r="C23" s="304">
        <f>C4</f>
        <v>0.35399999999999998</v>
      </c>
      <c r="D23" s="193"/>
      <c r="E23" s="304">
        <v>0.11600000000000001</v>
      </c>
      <c r="F23" s="194">
        <f>F18*(1+(C23)*(1-(E23)))</f>
        <v>1.8579640782757187</v>
      </c>
      <c r="G23" s="212"/>
      <c r="H23" s="188"/>
      <c r="I23" s="188"/>
      <c r="L23" s="145"/>
      <c r="M23" s="145"/>
      <c r="N23" s="145"/>
    </row>
    <row r="24" spans="1:14" ht="16" thickBot="1" x14ac:dyDescent="0.25">
      <c r="A24" s="461"/>
      <c r="B24" s="188"/>
      <c r="C24" s="188"/>
      <c r="D24" s="188"/>
      <c r="E24" s="188"/>
      <c r="F24" s="188"/>
      <c r="G24" s="213"/>
      <c r="H24" s="188"/>
      <c r="I24" s="188"/>
      <c r="L24" s="145"/>
      <c r="M24" s="145"/>
      <c r="N24" s="145"/>
    </row>
    <row r="25" spans="1:14" ht="16" thickBot="1" x14ac:dyDescent="0.25">
      <c r="A25" s="188"/>
      <c r="B25" s="188"/>
      <c r="C25" s="188"/>
      <c r="D25" s="188"/>
      <c r="E25" s="188"/>
      <c r="F25" s="188"/>
      <c r="G25" s="188"/>
      <c r="H25" s="188"/>
      <c r="I25" s="188"/>
      <c r="L25" s="145"/>
      <c r="M25" s="145"/>
      <c r="N25" s="145"/>
    </row>
    <row r="26" spans="1:14" ht="16" thickBot="1" x14ac:dyDescent="0.25">
      <c r="A26" s="188"/>
      <c r="B26" s="195" t="s">
        <v>63</v>
      </c>
      <c r="C26" s="408">
        <v>3.7499999999999999E-2</v>
      </c>
      <c r="D26" s="324"/>
      <c r="E26" s="196" t="s">
        <v>62</v>
      </c>
      <c r="F26" s="197">
        <v>1.5</v>
      </c>
      <c r="G26" s="188"/>
      <c r="H26" s="188"/>
      <c r="I26" s="188"/>
      <c r="L26" s="145"/>
      <c r="M26" s="145"/>
      <c r="N26" s="145"/>
    </row>
    <row r="27" spans="1:14" ht="15" customHeight="1" thickBot="1" x14ac:dyDescent="0.2">
      <c r="A27" s="454" t="s">
        <v>166</v>
      </c>
      <c r="B27" s="199" t="s">
        <v>161</v>
      </c>
      <c r="C27" s="200">
        <v>0.05</v>
      </c>
      <c r="D27" s="312"/>
      <c r="E27" s="201" t="s">
        <v>160</v>
      </c>
      <c r="F27" s="325">
        <f>$C$26+F26*$C$27</f>
        <v>0.11250000000000002</v>
      </c>
      <c r="G27" s="197">
        <f>F26+0.1</f>
        <v>1.6</v>
      </c>
      <c r="H27" s="197">
        <f t="shared" ref="H27:J27" si="1">G27+0.1</f>
        <v>1.7000000000000002</v>
      </c>
      <c r="I27" s="197">
        <f t="shared" si="1"/>
        <v>1.8000000000000003</v>
      </c>
      <c r="J27" s="198">
        <f t="shared" si="1"/>
        <v>1.9000000000000004</v>
      </c>
      <c r="L27" s="145"/>
      <c r="M27" s="145"/>
      <c r="N27" s="145"/>
    </row>
    <row r="28" spans="1:14" ht="16.25" customHeight="1" thickBot="1" x14ac:dyDescent="0.25">
      <c r="A28" s="455"/>
      <c r="B28"/>
      <c r="C28"/>
      <c r="D28"/>
      <c r="E28"/>
      <c r="F28"/>
      <c r="G28" s="325">
        <f>$C$26+G27*$C$27</f>
        <v>0.11750000000000002</v>
      </c>
      <c r="H28" s="325">
        <f>$C$26+H27*$C$27</f>
        <v>0.12250000000000003</v>
      </c>
      <c r="I28" s="325">
        <f>$C$26+I27*$C$27</f>
        <v>0.12750000000000003</v>
      </c>
      <c r="J28" s="326">
        <f>$C$26+J27*$C$27</f>
        <v>0.13250000000000003</v>
      </c>
      <c r="L28" s="145"/>
      <c r="M28" s="145"/>
      <c r="N28" s="145"/>
    </row>
    <row r="29" spans="1:14" ht="16.25" customHeight="1" x14ac:dyDescent="0.2">
      <c r="A29" s="455"/>
      <c r="B29"/>
      <c r="C29"/>
      <c r="D29"/>
      <c r="E29"/>
      <c r="F29"/>
      <c r="G29"/>
      <c r="H29"/>
      <c r="I29"/>
      <c r="J29"/>
      <c r="L29" s="145"/>
      <c r="M29" s="145"/>
      <c r="N29" s="145"/>
    </row>
    <row r="30" spans="1:14" ht="15" customHeight="1" x14ac:dyDescent="0.2">
      <c r="A30" s="455"/>
      <c r="B30"/>
      <c r="C30">
        <f>4.15-3.64</f>
        <v>0.51000000000000023</v>
      </c>
      <c r="D30"/>
      <c r="E30"/>
      <c r="F30"/>
      <c r="G30"/>
      <c r="H30"/>
      <c r="I30"/>
      <c r="J30"/>
      <c r="L30" s="145"/>
      <c r="M30" s="145"/>
      <c r="N30" s="145"/>
    </row>
    <row r="31" spans="1:14" ht="16.25" customHeight="1" thickBot="1" x14ac:dyDescent="0.25">
      <c r="A31" s="456"/>
      <c r="B31" s="188"/>
      <c r="C31" s="188"/>
      <c r="D31" s="188"/>
      <c r="E31" s="188"/>
      <c r="F31" s="188"/>
      <c r="G31"/>
      <c r="H31"/>
      <c r="I31"/>
      <c r="J31"/>
      <c r="L31" s="145"/>
      <c r="M31" s="145"/>
      <c r="N31" s="145"/>
    </row>
    <row r="32" spans="1:14" ht="16" thickBot="1" x14ac:dyDescent="0.25">
      <c r="A32" s="188"/>
      <c r="G32" s="188"/>
      <c r="H32" s="188"/>
      <c r="I32" s="188"/>
      <c r="L32" s="145"/>
      <c r="M32" s="145"/>
      <c r="N32" s="145"/>
    </row>
    <row r="33" spans="1:19" s="148" customFormat="1" ht="16" thickBot="1" x14ac:dyDescent="0.25">
      <c r="A33" s="188"/>
      <c r="B33" s="322" t="s">
        <v>231</v>
      </c>
      <c r="C33" s="323">
        <v>7.7000000000000002E-3</v>
      </c>
      <c r="D33" s="323">
        <v>7.7000000000000002E-3</v>
      </c>
      <c r="E33" s="323">
        <v>7.7000000000000002E-3</v>
      </c>
      <c r="F33" s="323">
        <v>7.7000000000000002E-3</v>
      </c>
      <c r="G33" s="323">
        <v>7.7000000000000002E-3</v>
      </c>
      <c r="H33" s="145"/>
      <c r="I33" s="145"/>
      <c r="J33" s="145"/>
      <c r="K33" s="145"/>
      <c r="L33" s="145"/>
      <c r="M33" s="145"/>
      <c r="N33" s="145"/>
      <c r="O33" s="145"/>
      <c r="P33" s="145"/>
      <c r="Q33" s="145"/>
      <c r="R33" s="145"/>
      <c r="S33" s="145"/>
    </row>
    <row r="34" spans="1:19" s="148" customFormat="1" ht="16.25" customHeight="1" x14ac:dyDescent="0.2">
      <c r="A34" s="457" t="s">
        <v>163</v>
      </c>
      <c r="B34" s="189" t="s">
        <v>162</v>
      </c>
      <c r="C34" s="319">
        <f>C26+C33</f>
        <v>4.5199999999999997E-2</v>
      </c>
      <c r="D34" s="320">
        <f>C34</f>
        <v>4.5199999999999997E-2</v>
      </c>
      <c r="E34" s="320">
        <f t="shared" ref="E34:F34" si="2">D34</f>
        <v>4.5199999999999997E-2</v>
      </c>
      <c r="F34" s="320">
        <f t="shared" si="2"/>
        <v>4.5199999999999997E-2</v>
      </c>
      <c r="G34" s="321">
        <f>F34</f>
        <v>4.5199999999999997E-2</v>
      </c>
      <c r="H34" s="145"/>
      <c r="I34" s="145"/>
      <c r="J34" s="145"/>
      <c r="K34" s="145"/>
      <c r="L34" s="145"/>
      <c r="M34" s="145"/>
      <c r="N34" s="145"/>
      <c r="O34" s="145"/>
      <c r="P34" s="145"/>
      <c r="Q34" s="145"/>
      <c r="R34" s="145"/>
      <c r="S34" s="145"/>
    </row>
    <row r="35" spans="1:19" s="148" customFormat="1" ht="15" x14ac:dyDescent="0.2">
      <c r="A35" s="458"/>
      <c r="B35" s="202" t="s">
        <v>160</v>
      </c>
      <c r="C35" s="203">
        <f>F27</f>
        <v>0.11250000000000002</v>
      </c>
      <c r="D35" s="203">
        <f>G28</f>
        <v>0.11750000000000002</v>
      </c>
      <c r="E35" s="203">
        <f>H28</f>
        <v>0.12250000000000003</v>
      </c>
      <c r="F35" s="203">
        <f>I28</f>
        <v>0.12750000000000003</v>
      </c>
      <c r="G35" s="203">
        <f t="shared" ref="G35" si="3">J28</f>
        <v>0.13250000000000003</v>
      </c>
      <c r="H35" s="188"/>
      <c r="I35" s="188"/>
      <c r="J35" s="145"/>
      <c r="K35" s="145"/>
      <c r="L35" s="145"/>
      <c r="M35" s="145"/>
      <c r="N35" s="145"/>
      <c r="O35" s="145"/>
      <c r="P35" s="145"/>
      <c r="Q35" s="145"/>
      <c r="R35" s="145"/>
      <c r="S35" s="145"/>
    </row>
    <row r="36" spans="1:19" s="148" customFormat="1" ht="15" x14ac:dyDescent="0.2">
      <c r="A36" s="458"/>
      <c r="B36" s="202" t="s">
        <v>151</v>
      </c>
      <c r="C36" s="204">
        <f>1-C37</f>
        <v>0.26144756277695724</v>
      </c>
      <c r="D36" s="204">
        <f t="shared" ref="D36:F38" si="4">C36</f>
        <v>0.26144756277695724</v>
      </c>
      <c r="E36" s="204">
        <f t="shared" si="4"/>
        <v>0.26144756277695724</v>
      </c>
      <c r="F36" s="204">
        <f t="shared" si="4"/>
        <v>0.26144756277695724</v>
      </c>
      <c r="G36" s="205">
        <f>F36</f>
        <v>0.26144756277695724</v>
      </c>
      <c r="H36" s="188"/>
      <c r="I36" s="188"/>
      <c r="J36" s="145"/>
      <c r="K36" s="145"/>
      <c r="L36" s="145"/>
      <c r="M36" s="145"/>
      <c r="N36" s="145"/>
      <c r="O36" s="145"/>
      <c r="P36" s="145"/>
      <c r="Q36" s="145"/>
      <c r="R36" s="145"/>
      <c r="S36" s="145"/>
    </row>
    <row r="37" spans="1:19" s="148" customFormat="1" ht="16" thickBot="1" x14ac:dyDescent="0.25">
      <c r="A37" s="458"/>
      <c r="B37" s="202" t="s">
        <v>152</v>
      </c>
      <c r="C37" s="204">
        <f>1/(1+C4)</f>
        <v>0.73855243722304276</v>
      </c>
      <c r="D37" s="204">
        <f t="shared" si="4"/>
        <v>0.73855243722304276</v>
      </c>
      <c r="E37" s="204">
        <f t="shared" si="4"/>
        <v>0.73855243722304276</v>
      </c>
      <c r="F37" s="204">
        <f t="shared" si="4"/>
        <v>0.73855243722304276</v>
      </c>
      <c r="G37" s="205">
        <f>F37</f>
        <v>0.73855243722304276</v>
      </c>
      <c r="H37" s="188"/>
      <c r="I37" s="188"/>
      <c r="J37" s="145"/>
      <c r="K37" s="145"/>
      <c r="L37" s="145"/>
      <c r="M37" s="145"/>
      <c r="N37" s="145"/>
      <c r="O37" s="145"/>
      <c r="P37" s="145"/>
      <c r="Q37" s="145"/>
      <c r="R37" s="145"/>
      <c r="S37" s="145"/>
    </row>
    <row r="38" spans="1:19" s="148" customFormat="1" ht="15" x14ac:dyDescent="0.2">
      <c r="A38" s="458"/>
      <c r="B38" s="202" t="s">
        <v>150</v>
      </c>
      <c r="C38" s="204">
        <f>E4</f>
        <v>0.11600000000000001</v>
      </c>
      <c r="D38" s="204">
        <f>C38</f>
        <v>0.11600000000000001</v>
      </c>
      <c r="E38" s="204">
        <f t="shared" si="4"/>
        <v>0.11600000000000001</v>
      </c>
      <c r="F38" s="204">
        <f t="shared" si="4"/>
        <v>0.11600000000000001</v>
      </c>
      <c r="G38" s="205">
        <f>F38</f>
        <v>0.11600000000000001</v>
      </c>
      <c r="H38" s="190" t="s">
        <v>61</v>
      </c>
      <c r="I38"/>
      <c r="J38"/>
      <c r="K38" s="145"/>
      <c r="L38" s="145"/>
      <c r="M38" s="145"/>
      <c r="N38" s="145"/>
      <c r="O38" s="145"/>
      <c r="P38" s="145"/>
      <c r="Q38" s="145"/>
      <c r="R38" s="145"/>
      <c r="S38" s="145"/>
    </row>
    <row r="39" spans="1:19" s="148" customFormat="1" ht="16" thickBot="1" x14ac:dyDescent="0.25">
      <c r="A39" s="458"/>
      <c r="B39" s="207" t="s">
        <v>153</v>
      </c>
      <c r="C39" s="208">
        <f>C34*(1-C38)*C36+C37*C35</f>
        <v>9.3533757163958647E-2</v>
      </c>
      <c r="D39" s="208">
        <f>D34*(1-D38)*D36+D37*D35</f>
        <v>9.722651935007387E-2</v>
      </c>
      <c r="E39" s="209">
        <f>E34*(1-E38)*E36+E37*E35</f>
        <v>0.10091928153618909</v>
      </c>
      <c r="F39" s="208">
        <f>F34*(1-F38)*F36+F37*F35</f>
        <v>0.10461204372230429</v>
      </c>
      <c r="G39" s="210">
        <f>G34*(1-G38)*G36+G37*G35</f>
        <v>0.10830480590841951</v>
      </c>
      <c r="H39" s="449">
        <f>AVERAGE(C39:G39)</f>
        <v>0.10091928153618908</v>
      </c>
      <c r="I39"/>
      <c r="J39"/>
      <c r="K39" s="145"/>
      <c r="L39" s="145"/>
      <c r="M39" s="145"/>
      <c r="N39" s="145"/>
      <c r="O39" s="145"/>
      <c r="P39" s="145"/>
      <c r="Q39" s="145"/>
      <c r="R39" s="145"/>
      <c r="S39" s="145"/>
    </row>
    <row r="40" spans="1:19" ht="15" x14ac:dyDescent="0.2">
      <c r="A40" s="458"/>
      <c r="B40" s="202"/>
      <c r="C40" s="188"/>
      <c r="D40" s="188"/>
      <c r="E40" s="188"/>
      <c r="F40" s="188"/>
      <c r="G40" s="211"/>
      <c r="H40" s="188"/>
      <c r="I40"/>
      <c r="J40"/>
      <c r="L40" s="145"/>
      <c r="M40" s="145"/>
      <c r="N40" s="145"/>
    </row>
    <row r="41" spans="1:19" ht="15" x14ac:dyDescent="0.2">
      <c r="A41" s="458"/>
      <c r="B41"/>
      <c r="C41"/>
      <c r="D41"/>
      <c r="E41"/>
      <c r="F41"/>
      <c r="G41"/>
      <c r="H41"/>
      <c r="I41"/>
      <c r="J41"/>
      <c r="L41" s="145"/>
      <c r="M41" s="145"/>
      <c r="N41" s="145"/>
    </row>
    <row r="42" spans="1:19" ht="15" x14ac:dyDescent="0.2">
      <c r="A42" s="458"/>
      <c r="B42"/>
      <c r="C42"/>
      <c r="D42"/>
      <c r="E42"/>
      <c r="F42"/>
      <c r="G42"/>
      <c r="H42"/>
      <c r="I42"/>
      <c r="J42"/>
      <c r="L42" s="145"/>
      <c r="M42" s="145"/>
      <c r="N42" s="145"/>
    </row>
    <row r="43" spans="1:19" ht="15" x14ac:dyDescent="0.2">
      <c r="A43" s="458"/>
      <c r="B43"/>
      <c r="C43"/>
      <c r="D43"/>
      <c r="E43"/>
      <c r="F43"/>
      <c r="G43"/>
      <c r="H43"/>
      <c r="I43"/>
      <c r="L43" s="145"/>
      <c r="M43" s="145"/>
      <c r="N43" s="145"/>
    </row>
    <row r="44" spans="1:19" ht="15" x14ac:dyDescent="0.2">
      <c r="A44" s="458"/>
      <c r="B44"/>
      <c r="C44"/>
      <c r="D44"/>
      <c r="E44"/>
      <c r="F44"/>
      <c r="G44"/>
      <c r="H44"/>
      <c r="I44"/>
      <c r="L44" s="145"/>
      <c r="M44" s="145"/>
      <c r="N44" s="145"/>
    </row>
    <row r="45" spans="1:19" ht="15" x14ac:dyDescent="0.2">
      <c r="A45" s="458"/>
      <c r="B45"/>
      <c r="C45"/>
      <c r="D45"/>
      <c r="E45"/>
      <c r="F45"/>
      <c r="G45"/>
      <c r="H45"/>
      <c r="I45"/>
      <c r="L45" s="145"/>
      <c r="M45" s="145"/>
      <c r="N45" s="145"/>
    </row>
    <row r="46" spans="1:19" ht="15" x14ac:dyDescent="0.2">
      <c r="A46" s="458"/>
      <c r="B46"/>
      <c r="C46"/>
      <c r="D46"/>
      <c r="E46"/>
      <c r="F46"/>
      <c r="G46"/>
      <c r="H46"/>
      <c r="I46"/>
      <c r="L46" s="145"/>
      <c r="M46" s="145"/>
      <c r="N46" s="145"/>
    </row>
    <row r="47" spans="1:19" ht="15" x14ac:dyDescent="0.2">
      <c r="A47" s="458"/>
      <c r="B47"/>
      <c r="C47"/>
      <c r="D47"/>
      <c r="E47"/>
      <c r="F47"/>
      <c r="G47"/>
      <c r="H47"/>
      <c r="I47"/>
      <c r="L47" s="145"/>
      <c r="M47" s="145"/>
      <c r="N47" s="145"/>
    </row>
    <row r="48" spans="1:19" ht="16" thickBot="1" x14ac:dyDescent="0.25">
      <c r="A48" s="459"/>
      <c r="B48" s="188"/>
      <c r="C48" s="188"/>
      <c r="D48" s="188"/>
      <c r="E48" s="188"/>
      <c r="F48" s="188"/>
      <c r="G48" s="188"/>
      <c r="H48" s="188"/>
      <c r="I48"/>
      <c r="L48" s="145"/>
      <c r="M48" s="145"/>
      <c r="N48" s="145"/>
    </row>
    <row r="49" spans="1:14" ht="15" x14ac:dyDescent="0.2">
      <c r="A49" s="188"/>
      <c r="B49" s="188" t="s">
        <v>220</v>
      </c>
      <c r="C49" s="188"/>
      <c r="D49" s="188"/>
      <c r="E49" s="188"/>
      <c r="F49" s="188"/>
      <c r="G49" s="188"/>
      <c r="H49" s="188"/>
      <c r="I49" s="188"/>
      <c r="L49" s="145"/>
      <c r="M49" s="145"/>
      <c r="N49" s="145"/>
    </row>
    <row r="50" spans="1:14" ht="15" x14ac:dyDescent="0.2">
      <c r="A50" s="188"/>
      <c r="I50" s="188"/>
      <c r="L50" s="145"/>
      <c r="M50" s="145"/>
      <c r="N50" s="145"/>
    </row>
    <row r="51" spans="1:14" x14ac:dyDescent="0.15">
      <c r="L51" s="145"/>
      <c r="M51" s="145"/>
      <c r="N51" s="145"/>
    </row>
    <row r="52" spans="1:14" x14ac:dyDescent="0.15">
      <c r="L52" s="145"/>
      <c r="M52" s="145"/>
      <c r="N52" s="145"/>
    </row>
    <row r="53" spans="1:14" x14ac:dyDescent="0.15">
      <c r="L53" s="145"/>
      <c r="M53" s="145"/>
      <c r="N53" s="145"/>
    </row>
    <row r="54" spans="1:14" x14ac:dyDescent="0.15">
      <c r="L54" s="145"/>
      <c r="M54" s="145"/>
      <c r="N54" s="145"/>
    </row>
    <row r="55" spans="1:14" x14ac:dyDescent="0.15">
      <c r="L55" s="145"/>
      <c r="M55" s="145"/>
      <c r="N55" s="145"/>
    </row>
    <row r="56" spans="1:14" x14ac:dyDescent="0.15">
      <c r="L56" s="145"/>
      <c r="M56" s="145"/>
      <c r="N56" s="145"/>
    </row>
    <row r="57" spans="1:14" x14ac:dyDescent="0.15">
      <c r="L57" s="145"/>
      <c r="M57" s="145"/>
      <c r="N57" s="145"/>
    </row>
    <row r="58" spans="1:14" x14ac:dyDescent="0.15">
      <c r="L58" s="145"/>
      <c r="M58" s="145"/>
      <c r="N58" s="145"/>
    </row>
    <row r="59" spans="1:14" x14ac:dyDescent="0.15">
      <c r="L59" s="145"/>
      <c r="M59" s="145"/>
      <c r="N59" s="145"/>
    </row>
    <row r="60" spans="1:14" x14ac:dyDescent="0.15">
      <c r="L60" s="145"/>
      <c r="M60" s="145"/>
      <c r="N60" s="145"/>
    </row>
    <row r="61" spans="1:14" x14ac:dyDescent="0.15">
      <c r="L61" s="145"/>
      <c r="M61" s="145"/>
      <c r="N61" s="145"/>
    </row>
    <row r="62" spans="1:14" x14ac:dyDescent="0.15">
      <c r="L62" s="145"/>
      <c r="M62" s="145"/>
      <c r="N62" s="145"/>
    </row>
    <row r="63" spans="1:14" x14ac:dyDescent="0.15">
      <c r="L63" s="145"/>
      <c r="M63" s="145"/>
      <c r="N63" s="145"/>
    </row>
    <row r="64" spans="1:14" x14ac:dyDescent="0.15">
      <c r="L64" s="145"/>
      <c r="M64" s="145"/>
      <c r="N64" s="145"/>
    </row>
    <row r="65" spans="2:14" x14ac:dyDescent="0.15">
      <c r="L65" s="145"/>
      <c r="M65" s="145"/>
      <c r="N65" s="145"/>
    </row>
    <row r="66" spans="2:14" x14ac:dyDescent="0.15">
      <c r="L66" s="145"/>
      <c r="M66" s="145"/>
      <c r="N66" s="145"/>
    </row>
    <row r="67" spans="2:14" x14ac:dyDescent="0.15">
      <c r="L67" s="145"/>
      <c r="M67" s="145"/>
      <c r="N67" s="145"/>
    </row>
    <row r="68" spans="2:14" x14ac:dyDescent="0.15">
      <c r="L68" s="145"/>
      <c r="M68" s="145"/>
      <c r="N68" s="145"/>
    </row>
    <row r="69" spans="2:14" x14ac:dyDescent="0.15">
      <c r="L69" s="145"/>
      <c r="M69" s="145"/>
      <c r="N69" s="145"/>
    </row>
    <row r="70" spans="2:14" x14ac:dyDescent="0.15">
      <c r="L70" s="145"/>
      <c r="M70" s="145"/>
      <c r="N70" s="145"/>
    </row>
    <row r="71" spans="2:14" x14ac:dyDescent="0.15">
      <c r="L71" s="145"/>
      <c r="M71" s="145"/>
      <c r="N71" s="145"/>
    </row>
    <row r="72" spans="2:14" x14ac:dyDescent="0.15">
      <c r="L72" s="145"/>
      <c r="M72" s="145"/>
      <c r="N72" s="145"/>
    </row>
    <row r="73" spans="2:14" x14ac:dyDescent="0.15">
      <c r="L73" s="145"/>
      <c r="M73" s="145"/>
      <c r="N73" s="145"/>
    </row>
    <row r="74" spans="2:14" x14ac:dyDescent="0.15">
      <c r="L74" s="145"/>
      <c r="M74" s="145"/>
      <c r="N74" s="145"/>
    </row>
    <row r="75" spans="2:14" x14ac:dyDescent="0.15">
      <c r="L75" s="145"/>
      <c r="M75" s="145"/>
      <c r="N75" s="145"/>
    </row>
    <row r="76" spans="2:14" x14ac:dyDescent="0.15">
      <c r="L76" s="145"/>
      <c r="M76" s="145"/>
      <c r="N76" s="145"/>
    </row>
    <row r="77" spans="2:14" x14ac:dyDescent="0.15">
      <c r="B77" s="214"/>
      <c r="C77" s="214"/>
      <c r="D77" s="214"/>
      <c r="E77" s="214"/>
      <c r="F77" s="214"/>
      <c r="L77" s="145"/>
      <c r="M77" s="145"/>
      <c r="N77" s="145"/>
    </row>
    <row r="78" spans="2:14" x14ac:dyDescent="0.15">
      <c r="C78" s="214"/>
      <c r="E78" s="214"/>
      <c r="F78" s="214"/>
      <c r="L78" s="145"/>
      <c r="M78" s="145"/>
      <c r="N78" s="145"/>
    </row>
    <row r="79" spans="2:14" x14ac:dyDescent="0.15">
      <c r="B79" s="214"/>
      <c r="C79" s="214"/>
      <c r="D79" s="216"/>
      <c r="E79" s="216"/>
      <c r="F79" s="217"/>
      <c r="L79" s="145"/>
      <c r="M79" s="145"/>
      <c r="N79" s="145"/>
    </row>
    <row r="80" spans="2:14" x14ac:dyDescent="0.15">
      <c r="B80" s="214"/>
      <c r="C80" s="215"/>
      <c r="D80" s="216"/>
      <c r="E80" s="216"/>
      <c r="F80" s="217"/>
      <c r="L80" s="145"/>
      <c r="M80" s="145"/>
      <c r="N80" s="145"/>
    </row>
    <row r="81" spans="2:14" x14ac:dyDescent="0.15">
      <c r="B81" s="214"/>
      <c r="C81" s="215"/>
      <c r="D81" s="216"/>
      <c r="E81" s="216"/>
      <c r="F81" s="217"/>
      <c r="L81" s="145"/>
      <c r="M81" s="145"/>
      <c r="N81" s="145"/>
    </row>
    <row r="82" spans="2:14" x14ac:dyDescent="0.15">
      <c r="B82" s="214"/>
      <c r="C82" s="215"/>
      <c r="D82" s="216"/>
      <c r="E82" s="216"/>
      <c r="F82" s="217"/>
      <c r="L82" s="145"/>
      <c r="M82" s="145"/>
      <c r="N82" s="145"/>
    </row>
    <row r="83" spans="2:14" x14ac:dyDescent="0.15">
      <c r="B83" s="214"/>
      <c r="C83" s="215"/>
      <c r="D83" s="216"/>
      <c r="E83" s="216"/>
      <c r="F83" s="217"/>
      <c r="L83" s="145"/>
      <c r="M83" s="145"/>
      <c r="N83" s="145"/>
    </row>
    <row r="84" spans="2:14" x14ac:dyDescent="0.15">
      <c r="B84" s="214"/>
      <c r="C84" s="215"/>
      <c r="D84" s="216"/>
      <c r="E84" s="216"/>
      <c r="F84" s="217"/>
      <c r="H84" s="214"/>
      <c r="L84" s="145"/>
      <c r="M84" s="145"/>
      <c r="N84" s="145"/>
    </row>
    <row r="85" spans="2:14" ht="16" x14ac:dyDescent="0.2">
      <c r="B85" s="214"/>
      <c r="C85" s="215"/>
      <c r="D85" s="216"/>
      <c r="E85" s="216"/>
      <c r="F85" s="217"/>
      <c r="H85" s="223"/>
      <c r="K85" s="214"/>
      <c r="L85" s="145"/>
      <c r="M85" s="145"/>
      <c r="N85" s="145"/>
    </row>
    <row r="86" spans="2:14" ht="16" x14ac:dyDescent="0.2">
      <c r="B86" s="214"/>
      <c r="C86" s="215"/>
      <c r="D86" s="216"/>
      <c r="E86" s="216"/>
      <c r="F86" s="217"/>
      <c r="H86" s="223"/>
      <c r="K86" s="218"/>
      <c r="L86" s="145"/>
      <c r="M86" s="145"/>
      <c r="N86" s="145"/>
    </row>
    <row r="87" spans="2:14" ht="16" x14ac:dyDescent="0.2">
      <c r="B87" s="214"/>
      <c r="C87" s="215"/>
      <c r="D87" s="216"/>
      <c r="E87" s="216"/>
      <c r="F87" s="217"/>
      <c r="K87" s="218"/>
      <c r="L87" s="145"/>
      <c r="M87" s="145"/>
      <c r="N87" s="145"/>
    </row>
    <row r="88" spans="2:14" x14ac:dyDescent="0.15">
      <c r="B88" s="214"/>
      <c r="C88" s="215"/>
      <c r="D88" s="216"/>
      <c r="E88" s="216"/>
      <c r="F88" s="217"/>
      <c r="L88" s="145"/>
      <c r="M88" s="145"/>
      <c r="N88" s="145"/>
    </row>
    <row r="89" spans="2:14" x14ac:dyDescent="0.15">
      <c r="B89" s="214"/>
      <c r="C89" s="215"/>
      <c r="D89" s="216"/>
      <c r="E89" s="216"/>
      <c r="F89" s="217"/>
      <c r="L89" s="145"/>
      <c r="M89" s="145"/>
      <c r="N89" s="145"/>
    </row>
    <row r="90" spans="2:14" x14ac:dyDescent="0.15">
      <c r="B90" s="214"/>
      <c r="C90" s="215"/>
      <c r="D90" s="216"/>
      <c r="E90" s="216"/>
      <c r="F90" s="217"/>
      <c r="L90" s="145"/>
      <c r="M90" s="145"/>
      <c r="N90" s="145"/>
    </row>
    <row r="91" spans="2:14" x14ac:dyDescent="0.15">
      <c r="B91" s="214"/>
      <c r="C91" s="215"/>
      <c r="D91" s="216"/>
      <c r="E91" s="216"/>
      <c r="F91" s="217"/>
      <c r="L91" s="145"/>
      <c r="M91" s="145"/>
      <c r="N91" s="145"/>
    </row>
    <row r="92" spans="2:14" x14ac:dyDescent="0.15">
      <c r="B92" s="214"/>
      <c r="C92" s="215"/>
      <c r="D92" s="216"/>
      <c r="E92" s="216"/>
      <c r="F92" s="217"/>
      <c r="L92" s="145"/>
      <c r="M92" s="145"/>
      <c r="N92" s="145"/>
    </row>
    <row r="93" spans="2:14" x14ac:dyDescent="0.15">
      <c r="B93" s="214"/>
      <c r="C93" s="215"/>
      <c r="D93" s="216"/>
      <c r="E93" s="216"/>
      <c r="F93" s="217"/>
      <c r="L93" s="145"/>
      <c r="M93" s="145"/>
      <c r="N93" s="145"/>
    </row>
    <row r="94" spans="2:14" x14ac:dyDescent="0.15">
      <c r="B94" s="214"/>
      <c r="C94" s="215"/>
      <c r="D94" s="216"/>
      <c r="E94" s="216"/>
      <c r="F94" s="217"/>
    </row>
    <row r="95" spans="2:14" x14ac:dyDescent="0.15">
      <c r="F95" s="217"/>
    </row>
    <row r="96" spans="2:14" x14ac:dyDescent="0.15">
      <c r="F96" s="217"/>
    </row>
    <row r="98" spans="3:11" x14ac:dyDescent="0.15">
      <c r="C98" s="214"/>
      <c r="E98" s="219"/>
      <c r="F98" s="214"/>
      <c r="G98" s="216"/>
      <c r="H98" s="216"/>
    </row>
    <row r="99" spans="3:11" x14ac:dyDescent="0.15">
      <c r="C99" s="214"/>
      <c r="E99" s="219"/>
      <c r="F99" s="214"/>
      <c r="G99" s="219"/>
      <c r="H99" s="219"/>
      <c r="I99" s="216"/>
      <c r="J99" s="216"/>
      <c r="K99" s="216"/>
    </row>
    <row r="100" spans="3:11" x14ac:dyDescent="0.15">
      <c r="C100" s="214"/>
      <c r="I100" s="219"/>
      <c r="J100" s="219"/>
      <c r="K100" s="219"/>
    </row>
    <row r="101" spans="3:11" x14ac:dyDescent="0.15">
      <c r="C101" s="214"/>
      <c r="E101" s="219"/>
      <c r="F101" s="214"/>
      <c r="G101" s="216"/>
      <c r="H101" s="216"/>
    </row>
    <row r="102" spans="3:11" x14ac:dyDescent="0.15">
      <c r="C102" s="214"/>
      <c r="E102" s="219"/>
      <c r="F102" s="214"/>
      <c r="G102" s="219"/>
      <c r="H102" s="219"/>
      <c r="I102" s="216"/>
      <c r="J102" s="216"/>
      <c r="K102" s="216"/>
    </row>
    <row r="103" spans="3:11" x14ac:dyDescent="0.15">
      <c r="I103" s="219"/>
      <c r="J103" s="219"/>
      <c r="K103" s="219"/>
    </row>
  </sheetData>
  <mergeCells count="4">
    <mergeCell ref="A27:A31"/>
    <mergeCell ref="A34:A48"/>
    <mergeCell ref="A23:A24"/>
    <mergeCell ref="A2:A19"/>
  </mergeCells>
  <pageMargins left="0.75" right="0.75" top="1" bottom="1" header="0.5" footer="0.5"/>
  <ignoredErrors>
    <ignoredError sqref="D35:F35 G35" formula="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3"/>
  <sheetViews>
    <sheetView zoomScale="90" zoomScaleNormal="90" workbookViewId="0">
      <selection activeCell="N20" sqref="N20:Q20"/>
    </sheetView>
  </sheetViews>
  <sheetFormatPr baseColWidth="10" defaultColWidth="8.83203125" defaultRowHeight="15" x14ac:dyDescent="0.2"/>
  <cols>
    <col min="1" max="2" width="2.6640625" style="14" customWidth="1"/>
    <col min="3" max="3" width="16.5" style="14" bestFit="1" customWidth="1"/>
    <col min="4" max="4" width="11.1640625" style="14" bestFit="1" customWidth="1"/>
    <col min="5" max="5" width="5.6640625" customWidth="1"/>
    <col min="7" max="9" width="12.6640625" customWidth="1"/>
    <col min="10" max="10" width="13.5" customWidth="1"/>
    <col min="11" max="11" width="12.6640625" customWidth="1"/>
    <col min="12" max="12" width="11.5" customWidth="1"/>
    <col min="13" max="13" width="19.1640625" customWidth="1"/>
  </cols>
  <sheetData>
    <row r="1" spans="1:19" x14ac:dyDescent="0.2">
      <c r="E1" s="14"/>
      <c r="F1" s="14"/>
      <c r="G1" s="14"/>
      <c r="H1" s="14"/>
      <c r="I1" s="14"/>
      <c r="J1" s="14"/>
      <c r="K1" s="14"/>
      <c r="L1" s="14"/>
      <c r="M1" s="14"/>
      <c r="N1" s="14"/>
      <c r="O1" s="14"/>
      <c r="P1" s="14"/>
      <c r="Q1" s="14"/>
      <c r="R1" s="14"/>
      <c r="S1" s="14"/>
    </row>
    <row r="2" spans="1:19" x14ac:dyDescent="0.2">
      <c r="C2" s="407" t="s">
        <v>240</v>
      </c>
      <c r="E2" s="14"/>
      <c r="F2" s="14"/>
      <c r="G2" s="149">
        <v>1</v>
      </c>
      <c r="H2" s="150">
        <v>2</v>
      </c>
      <c r="I2" s="150">
        <v>3</v>
      </c>
      <c r="J2" s="150">
        <v>4</v>
      </c>
      <c r="K2" s="150">
        <v>5</v>
      </c>
      <c r="L2" s="151">
        <v>6</v>
      </c>
      <c r="M2" s="14"/>
      <c r="N2" s="14"/>
      <c r="O2" s="14"/>
      <c r="P2" s="14"/>
      <c r="Q2" s="14"/>
      <c r="R2" s="14"/>
      <c r="S2" s="14"/>
    </row>
    <row r="3" spans="1:19" x14ac:dyDescent="0.2">
      <c r="E3" s="14"/>
      <c r="F3" s="152" t="s">
        <v>29</v>
      </c>
      <c r="G3" s="172">
        <v>6890.75</v>
      </c>
      <c r="H3" s="172">
        <v>7307.64</v>
      </c>
      <c r="I3" s="172">
        <v>8928.4699999999993</v>
      </c>
      <c r="J3" s="172">
        <v>8797.18</v>
      </c>
      <c r="K3" s="172">
        <f>Forecast!M45</f>
        <v>10297.597860783613</v>
      </c>
      <c r="L3" s="173">
        <f>Forecast!N45</f>
        <v>10836.111429510578</v>
      </c>
      <c r="M3" s="14"/>
      <c r="P3" s="14"/>
      <c r="Q3" s="14"/>
      <c r="R3" s="14"/>
      <c r="S3" s="14"/>
    </row>
    <row r="4" spans="1:19" x14ac:dyDescent="0.2">
      <c r="E4" s="14"/>
      <c r="F4" s="14"/>
      <c r="G4" s="14"/>
      <c r="H4" s="14"/>
      <c r="I4" s="14"/>
      <c r="J4" s="14"/>
      <c r="K4" s="14"/>
      <c r="L4" s="14"/>
      <c r="M4" s="14"/>
      <c r="N4" s="14"/>
      <c r="O4" s="14"/>
      <c r="P4" s="14"/>
      <c r="Q4" s="14"/>
      <c r="R4" s="14"/>
      <c r="S4" s="14"/>
    </row>
    <row r="5" spans="1:19" ht="16" thickBot="1" x14ac:dyDescent="0.25">
      <c r="C5" s="14" t="s">
        <v>164</v>
      </c>
      <c r="E5" s="14"/>
      <c r="F5" s="465" t="s">
        <v>31</v>
      </c>
      <c r="G5" s="466"/>
      <c r="H5" s="466"/>
      <c r="I5" s="466"/>
      <c r="J5" s="466"/>
      <c r="K5" s="466"/>
      <c r="L5" s="466"/>
      <c r="M5" s="467"/>
      <c r="N5" s="14"/>
      <c r="O5" s="14"/>
      <c r="P5" s="14"/>
      <c r="Q5" s="14"/>
      <c r="R5" s="14"/>
      <c r="S5" s="14"/>
    </row>
    <row r="6" spans="1:19" ht="16" x14ac:dyDescent="0.2">
      <c r="A6" s="160"/>
      <c r="B6" s="160"/>
      <c r="C6" s="220" t="s">
        <v>28</v>
      </c>
      <c r="D6" s="415">
        <v>0.1055</v>
      </c>
      <c r="E6" s="14"/>
      <c r="F6" s="468" t="s">
        <v>28</v>
      </c>
      <c r="G6" s="154" t="s">
        <v>64</v>
      </c>
      <c r="H6" s="155"/>
      <c r="I6" s="155"/>
      <c r="J6" s="155"/>
      <c r="K6" s="155"/>
      <c r="L6" s="155"/>
      <c r="M6" s="156"/>
      <c r="N6" s="14"/>
      <c r="O6" s="14"/>
      <c r="P6" s="14"/>
      <c r="Q6" s="14"/>
      <c r="R6" s="14"/>
      <c r="S6" s="14"/>
    </row>
    <row r="7" spans="1:19" x14ac:dyDescent="0.2">
      <c r="C7" s="166" t="s">
        <v>65</v>
      </c>
      <c r="D7" s="161">
        <f>J7</f>
        <v>4.4999999999999991E-2</v>
      </c>
      <c r="E7" s="14"/>
      <c r="F7" s="469"/>
      <c r="G7" s="157">
        <v>0.03</v>
      </c>
      <c r="H7" s="158">
        <f>G7+0.5%</f>
        <v>3.4999999999999996E-2</v>
      </c>
      <c r="I7" s="158">
        <f t="shared" ref="I7:M7" si="0">H7+0.5%</f>
        <v>3.9999999999999994E-2</v>
      </c>
      <c r="J7" s="158">
        <f>I7+0.5%</f>
        <v>4.4999999999999991E-2</v>
      </c>
      <c r="K7" s="158">
        <f t="shared" si="0"/>
        <v>4.9999999999999989E-2</v>
      </c>
      <c r="L7" s="158">
        <f t="shared" si="0"/>
        <v>5.4999999999999986E-2</v>
      </c>
      <c r="M7" s="159">
        <f t="shared" si="0"/>
        <v>5.9999999999999984E-2</v>
      </c>
      <c r="N7" s="14"/>
      <c r="O7" s="14"/>
      <c r="P7" s="14"/>
      <c r="Q7" s="14"/>
      <c r="R7" s="14"/>
      <c r="S7" s="14"/>
    </row>
    <row r="8" spans="1:19" x14ac:dyDescent="0.2">
      <c r="C8" s="167" t="s">
        <v>70</v>
      </c>
      <c r="D8" s="162">
        <f>$G$3/(1+$F14)+$H$3/(1+$F14)^2+$I$3/(1+$F14)^3+$J$3/(1+$F14)^4+$K$3/(1+$F14)^5+(1/(1+$F14)^5)*($L$3/($F14-J$7))</f>
        <v>153748.42024269741</v>
      </c>
      <c r="E8" s="14"/>
      <c r="F8" s="410">
        <v>7.0000000000000007E-2</v>
      </c>
      <c r="G8" s="221">
        <f t="shared" ref="G8:M20" si="1">(($G$3/(1+$F8)+$H$3/(1+$F8)^2+$I$3/(1+$F8)^3+$J$3/(1+$F8)^4+$K$3/(1+$F8)^5+(1/(1+$F8)^5)*($L$3/($F8-G$7)))+($D$9+$D$11))/$D$14</f>
        <v>278.89593912254998</v>
      </c>
      <c r="H8" s="221">
        <f t="shared" si="1"/>
        <v>312.38240621940355</v>
      </c>
      <c r="I8" s="221">
        <f t="shared" si="1"/>
        <v>357.03102901520816</v>
      </c>
      <c r="J8" s="221">
        <f t="shared" si="1"/>
        <v>419.53910092933478</v>
      </c>
      <c r="K8" s="221">
        <f t="shared" si="1"/>
        <v>513.30120880052459</v>
      </c>
      <c r="L8" s="221">
        <f t="shared" si="1"/>
        <v>669.57138858584108</v>
      </c>
      <c r="M8" s="327">
        <f>(($G$3/(1+$F8)+$H$3/(1+$F8)^2+$I$3/(1+$F8)^3+$J$3/(1+$F8)^4+$K$3/(1+$F8)^5+(1/(1+$F8)^5)*($L$3/($F8-M$7)))+($D$9+$D$11))/$D$14</f>
        <v>982.11174815647325</v>
      </c>
      <c r="N8" s="14"/>
      <c r="O8" s="14"/>
      <c r="P8" s="14"/>
      <c r="Q8" s="14"/>
      <c r="R8" s="14"/>
      <c r="S8" s="14"/>
    </row>
    <row r="9" spans="1:19" x14ac:dyDescent="0.2">
      <c r="C9" s="168" t="s">
        <v>66</v>
      </c>
      <c r="D9" s="185">
        <f>Balance!P25</f>
        <v>8620.92</v>
      </c>
      <c r="E9" s="14"/>
      <c r="F9" s="410">
        <f>F8+0.5%</f>
        <v>7.5000000000000011E-2</v>
      </c>
      <c r="G9" s="221">
        <f t="shared" si="1"/>
        <v>247.46332855542121</v>
      </c>
      <c r="H9" s="221">
        <f t="shared" si="1"/>
        <v>272.9082684061944</v>
      </c>
      <c r="I9" s="221">
        <f t="shared" si="1"/>
        <v>305.62319107147408</v>
      </c>
      <c r="J9" s="221">
        <f t="shared" si="1"/>
        <v>349.24308795851368</v>
      </c>
      <c r="K9" s="221">
        <f t="shared" si="1"/>
        <v>410.31094360036911</v>
      </c>
      <c r="L9" s="221">
        <f t="shared" si="1"/>
        <v>501.9127270631522</v>
      </c>
      <c r="M9" s="327">
        <f t="shared" si="1"/>
        <v>654.58236616779084</v>
      </c>
      <c r="N9" s="14"/>
      <c r="O9" s="14"/>
      <c r="P9" s="14"/>
      <c r="Q9" s="14"/>
      <c r="R9" s="14"/>
      <c r="S9" s="14"/>
    </row>
    <row r="10" spans="1:19" x14ac:dyDescent="0.2">
      <c r="C10" s="168" t="s">
        <v>219</v>
      </c>
      <c r="D10" s="184">
        <f>SUM(D8:D9)</f>
        <v>162369.34024269742</v>
      </c>
      <c r="E10" s="14"/>
      <c r="F10" s="410">
        <f t="shared" ref="F10:F20" si="2">F9+0.5%</f>
        <v>8.0000000000000016E-2</v>
      </c>
      <c r="G10" s="221">
        <f t="shared" si="1"/>
        <v>222.33148552953335</v>
      </c>
      <c r="H10" s="221">
        <f t="shared" si="1"/>
        <v>242.22057765496561</v>
      </c>
      <c r="I10" s="221">
        <f t="shared" si="1"/>
        <v>267.08194281175599</v>
      </c>
      <c r="J10" s="221">
        <f t="shared" si="1"/>
        <v>299.04655515620072</v>
      </c>
      <c r="K10" s="221">
        <f t="shared" si="1"/>
        <v>341.66603828212692</v>
      </c>
      <c r="L10" s="221">
        <f t="shared" si="1"/>
        <v>401.33331465842377</v>
      </c>
      <c r="M10" s="327">
        <f t="shared" si="1"/>
        <v>490.83422922286883</v>
      </c>
      <c r="N10" s="14"/>
      <c r="O10" s="14"/>
      <c r="P10" s="14"/>
      <c r="Q10" s="14"/>
      <c r="R10" s="14"/>
      <c r="S10" s="14"/>
    </row>
    <row r="11" spans="1:19" x14ac:dyDescent="0.2">
      <c r="C11" s="168" t="s">
        <v>67</v>
      </c>
      <c r="D11" s="163">
        <f>-Balance!P32</f>
        <v>-6125</v>
      </c>
      <c r="E11" s="14"/>
      <c r="F11" s="410">
        <f t="shared" si="2"/>
        <v>8.500000000000002E-2</v>
      </c>
      <c r="G11" s="221">
        <f t="shared" si="1"/>
        <v>201.78167870115217</v>
      </c>
      <c r="H11" s="221">
        <f t="shared" si="1"/>
        <v>217.68306067917408</v>
      </c>
      <c r="I11" s="221">
        <f t="shared" si="1"/>
        <v>237.11808309675635</v>
      </c>
      <c r="J11" s="221">
        <f t="shared" si="1"/>
        <v>261.41186111873418</v>
      </c>
      <c r="K11" s="221">
        <f t="shared" si="1"/>
        <v>292.64671857556289</v>
      </c>
      <c r="L11" s="221">
        <f t="shared" si="1"/>
        <v>334.2931951846677</v>
      </c>
      <c r="M11" s="327">
        <f t="shared" si="1"/>
        <v>392.59826243741446</v>
      </c>
      <c r="N11" s="14"/>
    </row>
    <row r="12" spans="1:19" ht="16" thickBot="1" x14ac:dyDescent="0.25">
      <c r="C12" s="166" t="s">
        <v>71</v>
      </c>
      <c r="D12" s="164">
        <f>SUM(D10:D11)</f>
        <v>156244.34024269742</v>
      </c>
      <c r="E12" s="14"/>
      <c r="F12" s="410">
        <f t="shared" si="2"/>
        <v>9.0000000000000024E-2</v>
      </c>
      <c r="G12" s="221">
        <f t="shared" si="1"/>
        <v>184.66809703350398</v>
      </c>
      <c r="H12" s="221">
        <f t="shared" si="1"/>
        <v>197.61809873154965</v>
      </c>
      <c r="I12" s="221">
        <f t="shared" si="1"/>
        <v>213.15810076920437</v>
      </c>
      <c r="J12" s="221">
        <f t="shared" si="1"/>
        <v>232.15143659300466</v>
      </c>
      <c r="K12" s="331">
        <f t="shared" si="1"/>
        <v>255.893106372755</v>
      </c>
      <c r="L12" s="331">
        <f t="shared" si="1"/>
        <v>286.41811037529118</v>
      </c>
      <c r="M12" s="327">
        <f t="shared" si="1"/>
        <v>327.11811571200593</v>
      </c>
      <c r="N12" s="14"/>
      <c r="O12" s="14"/>
      <c r="P12" s="14"/>
      <c r="Q12" s="14"/>
      <c r="R12" s="14"/>
      <c r="S12" s="14"/>
    </row>
    <row r="13" spans="1:19" ht="16" thickTop="1" x14ac:dyDescent="0.2">
      <c r="C13" s="167"/>
      <c r="D13" s="165"/>
      <c r="E13" s="14"/>
      <c r="F13" s="410">
        <f t="shared" si="2"/>
        <v>9.5000000000000029E-2</v>
      </c>
      <c r="G13" s="221">
        <f t="shared" si="1"/>
        <v>170.19749549962694</v>
      </c>
      <c r="H13" s="221">
        <f t="shared" si="1"/>
        <v>180.90728788838427</v>
      </c>
      <c r="I13" s="330">
        <f t="shared" si="1"/>
        <v>193.56431525691559</v>
      </c>
      <c r="J13" s="330">
        <f t="shared" si="1"/>
        <v>208.75274809915322</v>
      </c>
      <c r="K13" s="330">
        <f t="shared" si="1"/>
        <v>227.31638823966583</v>
      </c>
      <c r="L13" s="331">
        <f t="shared" si="1"/>
        <v>250.5209384153066</v>
      </c>
      <c r="M13" s="327">
        <f t="shared" si="1"/>
        <v>280.35536006970193</v>
      </c>
      <c r="N13" s="14"/>
      <c r="O13" s="14"/>
      <c r="P13" s="14"/>
      <c r="Q13" s="14"/>
      <c r="R13" s="14"/>
      <c r="S13" s="14"/>
    </row>
    <row r="14" spans="1:19" x14ac:dyDescent="0.2">
      <c r="C14" s="332" t="s">
        <v>167</v>
      </c>
      <c r="D14" s="405">
        <v>824</v>
      </c>
      <c r="E14" s="14"/>
      <c r="F14" s="410">
        <f t="shared" si="2"/>
        <v>0.10000000000000003</v>
      </c>
      <c r="G14" s="221">
        <f t="shared" si="1"/>
        <v>157.803278353916</v>
      </c>
      <c r="H14" s="221">
        <f t="shared" si="1"/>
        <v>166.77635613801414</v>
      </c>
      <c r="I14" s="330">
        <f t="shared" si="1"/>
        <v>177.24494688612859</v>
      </c>
      <c r="J14" s="221">
        <f>(($G$3/(1+$F14)+$H$3/(1+$F14)^2+$I$3/(1+$F14)^3+$J$3/(1+$F14)^4+$K$3/(1+$F14)^5+(1/(1+$F14)^5)*($L$3/($F14-J$7)))+($D$9+$D$11))/$D$14</f>
        <v>189.61691777026385</v>
      </c>
      <c r="K14" s="330">
        <f t="shared" si="1"/>
        <v>204.46328283122619</v>
      </c>
      <c r="L14" s="221">
        <f t="shared" si="1"/>
        <v>222.60884012795793</v>
      </c>
      <c r="M14" s="327">
        <f t="shared" si="1"/>
        <v>245.29078674887253</v>
      </c>
      <c r="N14" s="14"/>
      <c r="O14" s="14"/>
      <c r="P14" s="14"/>
      <c r="Q14" s="14"/>
      <c r="R14" s="14"/>
      <c r="S14" s="14"/>
    </row>
    <row r="15" spans="1:19" ht="16" thickBot="1" x14ac:dyDescent="0.25">
      <c r="C15" s="333" t="s">
        <v>68</v>
      </c>
      <c r="D15" s="406">
        <f>D12/D14</f>
        <v>189.61691777026385</v>
      </c>
      <c r="E15" s="14"/>
      <c r="F15" s="410">
        <f t="shared" si="2"/>
        <v>0.10500000000000004</v>
      </c>
      <c r="G15" s="221">
        <f t="shared" si="1"/>
        <v>147.06994910642712</v>
      </c>
      <c r="H15" s="222">
        <f t="shared" si="1"/>
        <v>154.67225887087923</v>
      </c>
      <c r="I15" s="330">
        <f t="shared" si="1"/>
        <v>163.44415475293937</v>
      </c>
      <c r="J15" s="330">
        <f t="shared" si="1"/>
        <v>173.67803328200952</v>
      </c>
      <c r="K15" s="330">
        <f t="shared" si="1"/>
        <v>185.77261699818334</v>
      </c>
      <c r="L15" s="221">
        <f t="shared" si="1"/>
        <v>200.2861174575919</v>
      </c>
      <c r="M15" s="327">
        <f t="shared" si="1"/>
        <v>218.02484024131348</v>
      </c>
      <c r="N15" s="14"/>
      <c r="O15" s="14"/>
      <c r="P15" s="14"/>
      <c r="Q15" s="14"/>
      <c r="R15" s="14"/>
      <c r="S15" s="14"/>
    </row>
    <row r="16" spans="1:19" ht="16" thickBot="1" x14ac:dyDescent="0.25">
      <c r="E16" s="14"/>
      <c r="F16" s="410">
        <f t="shared" si="2"/>
        <v>0.11000000000000004</v>
      </c>
      <c r="G16" s="221">
        <f t="shared" si="1"/>
        <v>137.68589176699291</v>
      </c>
      <c r="H16" s="222">
        <f t="shared" si="1"/>
        <v>144.18943618328902</v>
      </c>
      <c r="I16" s="222">
        <f t="shared" si="1"/>
        <v>151.62205837334167</v>
      </c>
      <c r="J16" s="221">
        <f t="shared" si="1"/>
        <v>160.19816090032555</v>
      </c>
      <c r="K16" s="221">
        <f t="shared" si="1"/>
        <v>170.20361384847334</v>
      </c>
      <c r="L16" s="221">
        <f t="shared" si="1"/>
        <v>182.02824005992079</v>
      </c>
      <c r="M16" s="327">
        <f t="shared" si="1"/>
        <v>196.21779151365763</v>
      </c>
      <c r="N16" s="14"/>
      <c r="O16" s="14"/>
      <c r="P16" s="14"/>
      <c r="Q16" s="14"/>
      <c r="R16" s="14"/>
      <c r="S16" s="14"/>
    </row>
    <row r="17" spans="3:19" ht="16" thickBot="1" x14ac:dyDescent="0.25">
      <c r="C17" s="169" t="s">
        <v>69</v>
      </c>
      <c r="D17" s="170">
        <f>D9/D14</f>
        <v>10.462281553398059</v>
      </c>
      <c r="E17" s="14"/>
      <c r="F17" s="410">
        <f t="shared" si="2"/>
        <v>0.11500000000000005</v>
      </c>
      <c r="G17" s="221">
        <f t="shared" si="1"/>
        <v>129.41281754173622</v>
      </c>
      <c r="H17" s="221">
        <f t="shared" si="1"/>
        <v>135.02372370098755</v>
      </c>
      <c r="I17" s="221">
        <f t="shared" si="1"/>
        <v>141.38275068147237</v>
      </c>
      <c r="J17" s="221">
        <f t="shared" si="1"/>
        <v>148.65021008774073</v>
      </c>
      <c r="K17" s="221">
        <f t="shared" si="1"/>
        <v>157.03574017189655</v>
      </c>
      <c r="L17" s="221">
        <f t="shared" si="1"/>
        <v>166.81885860341166</v>
      </c>
      <c r="M17" s="327">
        <f t="shared" si="1"/>
        <v>178.38072584065679</v>
      </c>
      <c r="N17" s="14"/>
      <c r="O17" s="14"/>
      <c r="P17" s="14"/>
      <c r="Q17" s="14"/>
      <c r="R17" s="14"/>
      <c r="S17" s="14"/>
    </row>
    <row r="18" spans="3:19" x14ac:dyDescent="0.2">
      <c r="E18" s="14"/>
      <c r="F18" s="410">
        <f t="shared" si="2"/>
        <v>0.12000000000000005</v>
      </c>
      <c r="G18" s="221">
        <f t="shared" si="1"/>
        <v>122.06539597232192</v>
      </c>
      <c r="H18" s="221">
        <f t="shared" si="1"/>
        <v>126.94253017869887</v>
      </c>
      <c r="I18" s="221">
        <f t="shared" si="1"/>
        <v>132.42930616087293</v>
      </c>
      <c r="J18" s="221">
        <f t="shared" si="1"/>
        <v>138.64765227400355</v>
      </c>
      <c r="K18" s="221">
        <f t="shared" si="1"/>
        <v>145.75433354615282</v>
      </c>
      <c r="L18" s="221">
        <f t="shared" si="1"/>
        <v>153.95435039863276</v>
      </c>
      <c r="M18" s="327">
        <f t="shared" si="1"/>
        <v>163.52103672652603</v>
      </c>
      <c r="N18" s="14"/>
      <c r="O18" s="14"/>
      <c r="P18" s="14"/>
      <c r="Q18" s="14"/>
      <c r="R18" s="14"/>
      <c r="S18" s="14"/>
    </row>
    <row r="19" spans="3:19" x14ac:dyDescent="0.2">
      <c r="E19" s="14"/>
      <c r="F19" s="410">
        <f t="shared" si="2"/>
        <v>0.12500000000000006</v>
      </c>
      <c r="G19" s="221">
        <f t="shared" si="1"/>
        <v>115.49731835448341</v>
      </c>
      <c r="H19" s="221">
        <f t="shared" si="1"/>
        <v>119.76495590688569</v>
      </c>
      <c r="I19" s="221">
        <f t="shared" si="1"/>
        <v>124.53466846545292</v>
      </c>
      <c r="J19" s="221">
        <f t="shared" si="1"/>
        <v>129.90059509384108</v>
      </c>
      <c r="K19" s="221">
        <f t="shared" si="1"/>
        <v>135.98197860601431</v>
      </c>
      <c r="L19" s="221">
        <f t="shared" si="1"/>
        <v>142.93213119135518</v>
      </c>
      <c r="M19" s="327">
        <f t="shared" si="1"/>
        <v>150.95153802059457</v>
      </c>
      <c r="N19" s="14"/>
      <c r="O19" s="14"/>
      <c r="P19" s="14"/>
      <c r="Q19" s="14"/>
      <c r="R19" s="14"/>
      <c r="S19" s="14"/>
    </row>
    <row r="20" spans="3:19" x14ac:dyDescent="0.2">
      <c r="E20" s="14"/>
      <c r="F20" s="411">
        <f t="shared" si="2"/>
        <v>0.13000000000000006</v>
      </c>
      <c r="G20" s="328">
        <f t="shared" si="1"/>
        <v>109.591542137758</v>
      </c>
      <c r="H20" s="328">
        <f t="shared" si="1"/>
        <v>113.34818952276314</v>
      </c>
      <c r="I20" s="328">
        <f t="shared" si="1"/>
        <v>117.52224217276883</v>
      </c>
      <c r="J20" s="328">
        <f t="shared" si="1"/>
        <v>122.18735984042226</v>
      </c>
      <c r="K20" s="328">
        <f t="shared" si="1"/>
        <v>127.43561721653236</v>
      </c>
      <c r="L20" s="328">
        <f t="shared" si="1"/>
        <v>133.3836422427905</v>
      </c>
      <c r="M20" s="329">
        <f t="shared" si="1"/>
        <v>140.18138512994264</v>
      </c>
      <c r="R20" s="14"/>
      <c r="S20" s="14"/>
    </row>
    <row r="21" spans="3:19" x14ac:dyDescent="0.2">
      <c r="E21" s="14"/>
      <c r="F21" s="153"/>
      <c r="G21" s="14"/>
      <c r="H21" s="14"/>
      <c r="I21" s="14"/>
      <c r="J21" s="14"/>
      <c r="K21" s="14"/>
      <c r="L21" s="14"/>
      <c r="M21" s="14"/>
      <c r="N21" s="14"/>
      <c r="O21" s="14"/>
      <c r="P21" s="14"/>
      <c r="Q21" s="14"/>
      <c r="R21" s="14"/>
      <c r="S21" s="14"/>
    </row>
    <row r="22" spans="3:19" x14ac:dyDescent="0.2">
      <c r="E22" s="14"/>
      <c r="L22" s="14"/>
      <c r="M22" s="14"/>
      <c r="N22" s="14"/>
      <c r="O22" s="14"/>
      <c r="P22" s="14"/>
      <c r="Q22" s="14"/>
      <c r="R22" s="14"/>
      <c r="S22" s="14"/>
    </row>
    <row r="23" spans="3:19" x14ac:dyDescent="0.2">
      <c r="E23" s="14"/>
      <c r="L23" s="14"/>
      <c r="M23" s="14"/>
      <c r="N23" s="14"/>
      <c r="O23" s="14"/>
      <c r="P23" s="14"/>
      <c r="Q23" s="14"/>
      <c r="R23" s="14"/>
      <c r="S23" s="14"/>
    </row>
    <row r="24" spans="3:19" x14ac:dyDescent="0.2">
      <c r="E24" s="14"/>
      <c r="L24" s="14"/>
      <c r="M24" s="14"/>
      <c r="N24" s="14"/>
      <c r="O24" s="14"/>
      <c r="P24" s="14"/>
      <c r="Q24" s="14"/>
      <c r="R24" s="14"/>
      <c r="S24" s="14"/>
    </row>
    <row r="25" spans="3:19" x14ac:dyDescent="0.2">
      <c r="E25" s="14"/>
      <c r="L25" s="14"/>
      <c r="M25" s="14"/>
      <c r="N25" s="14"/>
      <c r="O25" s="14"/>
      <c r="P25" s="14"/>
      <c r="Q25" s="14"/>
      <c r="R25" s="14"/>
      <c r="S25" s="14"/>
    </row>
    <row r="26" spans="3:19" x14ac:dyDescent="0.2">
      <c r="E26" s="14"/>
      <c r="L26" s="14"/>
      <c r="M26" s="14"/>
      <c r="N26" s="14"/>
      <c r="O26" s="14"/>
      <c r="P26" s="14"/>
      <c r="Q26" s="14"/>
      <c r="R26" s="14"/>
      <c r="S26" s="14"/>
    </row>
    <row r="27" spans="3:19" x14ac:dyDescent="0.2">
      <c r="E27" s="14"/>
      <c r="F27" s="14"/>
      <c r="G27" s="14"/>
      <c r="H27" s="14"/>
      <c r="I27" s="14"/>
      <c r="J27" s="14"/>
      <c r="K27" s="14"/>
      <c r="L27" s="14"/>
      <c r="M27" s="14"/>
      <c r="N27" s="14"/>
      <c r="O27" s="14"/>
      <c r="P27" s="14"/>
      <c r="Q27" s="14"/>
      <c r="R27" s="14"/>
      <c r="S27" s="14"/>
    </row>
    <row r="28" spans="3:19" x14ac:dyDescent="0.2">
      <c r="E28" s="14"/>
      <c r="F28" s="14"/>
      <c r="G28" s="14"/>
      <c r="H28" s="14"/>
      <c r="I28" s="14"/>
      <c r="J28" s="14"/>
      <c r="K28" s="14"/>
      <c r="L28" s="14"/>
      <c r="M28" s="14"/>
      <c r="N28" s="14"/>
      <c r="O28" s="14"/>
      <c r="P28" s="14"/>
      <c r="Q28" s="14"/>
      <c r="R28" s="14"/>
      <c r="S28" s="14"/>
    </row>
    <row r="29" spans="3:19" x14ac:dyDescent="0.2">
      <c r="E29" s="14"/>
      <c r="F29" s="14"/>
      <c r="G29" s="14"/>
      <c r="H29" s="14"/>
      <c r="I29" s="14"/>
      <c r="J29" s="14"/>
      <c r="K29" s="14"/>
      <c r="L29" s="14"/>
      <c r="M29" s="14"/>
      <c r="N29" s="14"/>
      <c r="O29" s="14"/>
      <c r="P29" s="14"/>
      <c r="Q29" s="14"/>
      <c r="R29" s="14"/>
      <c r="S29" s="14"/>
    </row>
    <row r="30" spans="3:19" x14ac:dyDescent="0.2">
      <c r="E30" s="14"/>
      <c r="F30" s="14"/>
      <c r="G30" s="14"/>
      <c r="H30" s="14"/>
      <c r="I30" s="14"/>
      <c r="J30" s="14"/>
      <c r="K30" s="14"/>
      <c r="L30" s="14"/>
      <c r="M30" s="14"/>
      <c r="N30" s="14"/>
      <c r="O30" s="14"/>
      <c r="P30" s="14"/>
      <c r="Q30" s="14"/>
      <c r="R30" s="14"/>
      <c r="S30" s="14"/>
    </row>
    <row r="31" spans="3:19" x14ac:dyDescent="0.2">
      <c r="E31" s="14"/>
      <c r="F31" s="14"/>
      <c r="G31" s="14"/>
      <c r="H31" s="14"/>
      <c r="I31" s="14"/>
      <c r="J31" s="14"/>
      <c r="K31" s="14"/>
      <c r="L31" s="14"/>
      <c r="M31" s="14"/>
      <c r="N31" s="14"/>
      <c r="O31" s="14"/>
      <c r="P31" s="14"/>
      <c r="Q31" s="14"/>
      <c r="R31" s="14"/>
      <c r="S31" s="14"/>
    </row>
    <row r="32" spans="3:19" x14ac:dyDescent="0.2">
      <c r="E32" s="14"/>
      <c r="F32" s="14"/>
      <c r="G32" s="14"/>
      <c r="H32" s="14"/>
      <c r="I32" s="14"/>
      <c r="J32" s="14"/>
      <c r="K32" s="14"/>
      <c r="L32" s="14"/>
      <c r="M32" s="14"/>
      <c r="N32" s="14"/>
      <c r="O32" s="14"/>
      <c r="P32" s="14"/>
      <c r="Q32" s="14"/>
      <c r="R32" s="14"/>
      <c r="S32" s="14"/>
    </row>
    <row r="33" spans="5:19" x14ac:dyDescent="0.2">
      <c r="E33" s="14"/>
      <c r="F33" s="14"/>
      <c r="G33" s="14"/>
      <c r="H33" s="14"/>
      <c r="I33" s="14"/>
      <c r="J33" s="14"/>
      <c r="K33" s="14"/>
      <c r="L33" s="14"/>
      <c r="M33" s="14"/>
      <c r="N33" s="14"/>
      <c r="O33" s="14"/>
      <c r="P33" s="14"/>
      <c r="Q33" s="14"/>
      <c r="R33" s="14"/>
      <c r="S33" s="14"/>
    </row>
  </sheetData>
  <mergeCells count="2">
    <mergeCell ref="F5:M5"/>
    <mergeCell ref="F6:F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7BDBA-3C51-4DC1-AD03-2AA1F96EF412}">
  <dimension ref="A1:M25"/>
  <sheetViews>
    <sheetView workbookViewId="0">
      <selection activeCell="C5" sqref="C5"/>
    </sheetView>
  </sheetViews>
  <sheetFormatPr baseColWidth="10" defaultColWidth="8.83203125" defaultRowHeight="15" x14ac:dyDescent="0.2"/>
  <cols>
    <col min="1" max="1" width="26.5" bestFit="1" customWidth="1"/>
    <col min="2" max="2" width="9.33203125" bestFit="1" customWidth="1"/>
    <col min="3" max="3" width="10.6640625" bestFit="1" customWidth="1"/>
    <col min="4" max="4" width="9.5" bestFit="1" customWidth="1"/>
    <col min="5" max="5" width="6.83203125" bestFit="1" customWidth="1"/>
    <col min="6" max="6" width="8.5" bestFit="1" customWidth="1"/>
    <col min="7" max="7" width="8.33203125" bestFit="1" customWidth="1"/>
    <col min="8" max="8" width="9.5" bestFit="1" customWidth="1"/>
    <col min="9" max="9" width="10.5" bestFit="1" customWidth="1"/>
    <col min="10" max="10" width="8" bestFit="1" customWidth="1"/>
    <col min="11" max="11" width="8.83203125" bestFit="1" customWidth="1"/>
    <col min="13" max="13" width="16.6640625" bestFit="1" customWidth="1"/>
  </cols>
  <sheetData>
    <row r="1" spans="1:13" x14ac:dyDescent="0.2">
      <c r="A1" s="420" t="s">
        <v>241</v>
      </c>
      <c r="B1" s="419"/>
      <c r="C1" s="419"/>
      <c r="D1" s="419"/>
      <c r="E1" s="419"/>
      <c r="F1" s="419"/>
      <c r="G1" s="419"/>
      <c r="H1" s="419"/>
      <c r="I1" s="419"/>
      <c r="J1" s="419"/>
      <c r="K1" s="419"/>
    </row>
    <row r="2" spans="1:13" x14ac:dyDescent="0.2">
      <c r="A2" s="421"/>
      <c r="B2" s="421"/>
      <c r="C2" s="421"/>
      <c r="D2" s="421" t="s">
        <v>242</v>
      </c>
      <c r="E2" s="421"/>
      <c r="F2" s="421"/>
      <c r="G2" s="421"/>
      <c r="H2" s="421" t="s">
        <v>243</v>
      </c>
      <c r="I2" s="421"/>
      <c r="J2" s="421"/>
      <c r="K2" s="421"/>
    </row>
    <row r="3" spans="1:13" x14ac:dyDescent="0.2">
      <c r="A3" s="421" t="s">
        <v>244</v>
      </c>
      <c r="B3" s="421"/>
      <c r="C3" s="421" t="s">
        <v>245</v>
      </c>
      <c r="D3" s="421" t="s">
        <v>246</v>
      </c>
      <c r="E3" s="421"/>
      <c r="F3" s="421" t="s">
        <v>247</v>
      </c>
      <c r="G3" s="421"/>
      <c r="H3" s="421" t="s">
        <v>29</v>
      </c>
      <c r="I3" s="421" t="s">
        <v>248</v>
      </c>
      <c r="J3" s="421" t="s">
        <v>248</v>
      </c>
      <c r="K3" s="421" t="s">
        <v>248</v>
      </c>
    </row>
    <row r="4" spans="1:13" x14ac:dyDescent="0.2">
      <c r="A4" s="421" t="s">
        <v>148</v>
      </c>
      <c r="B4" s="421" t="s">
        <v>249</v>
      </c>
      <c r="C4" s="421" t="s">
        <v>250</v>
      </c>
      <c r="D4" s="421" t="s">
        <v>251</v>
      </c>
      <c r="E4" s="421" t="s">
        <v>252</v>
      </c>
      <c r="F4" s="421" t="s">
        <v>253</v>
      </c>
      <c r="G4" s="421" t="s">
        <v>254</v>
      </c>
      <c r="H4" s="421" t="s">
        <v>251</v>
      </c>
      <c r="I4" s="421" t="s">
        <v>255</v>
      </c>
      <c r="J4" s="421" t="s">
        <v>256</v>
      </c>
      <c r="K4" s="421" t="s">
        <v>257</v>
      </c>
    </row>
    <row r="5" spans="1:13" x14ac:dyDescent="0.2">
      <c r="A5" s="422" t="s">
        <v>228</v>
      </c>
      <c r="B5" s="422" t="s">
        <v>258</v>
      </c>
      <c r="C5" s="422" t="s">
        <v>259</v>
      </c>
      <c r="D5" s="424">
        <v>5.8266819999999999</v>
      </c>
      <c r="E5" s="424">
        <v>21.079246999999999</v>
      </c>
      <c r="F5" s="424">
        <v>1.7677229999999999</v>
      </c>
      <c r="G5" s="424">
        <v>8.2081590000000002</v>
      </c>
      <c r="H5" s="424">
        <v>23.801088</v>
      </c>
      <c r="I5" s="424">
        <v>18.591635</v>
      </c>
      <c r="J5" s="424">
        <v>19.576813000000001</v>
      </c>
      <c r="K5" s="424">
        <v>5.6758670000000002</v>
      </c>
    </row>
    <row r="6" spans="1:13" x14ac:dyDescent="0.2">
      <c r="A6" s="423" t="s">
        <v>221</v>
      </c>
      <c r="B6" s="423" t="s">
        <v>260</v>
      </c>
      <c r="C6" s="423" t="s">
        <v>261</v>
      </c>
      <c r="D6" s="425">
        <v>10.239882</v>
      </c>
      <c r="E6" s="425">
        <v>36.311278999999999</v>
      </c>
      <c r="F6" s="425">
        <v>2.0059420000000001</v>
      </c>
      <c r="G6" s="425">
        <v>29.388641</v>
      </c>
      <c r="H6" s="425">
        <v>33.085380000000001</v>
      </c>
      <c r="I6" s="425">
        <v>23.980803999999999</v>
      </c>
      <c r="J6" s="425">
        <v>26.500934999999998</v>
      </c>
      <c r="K6" s="425">
        <v>10.343838</v>
      </c>
    </row>
    <row r="7" spans="1:13" x14ac:dyDescent="0.2">
      <c r="A7" s="422" t="s">
        <v>222</v>
      </c>
      <c r="B7" s="422" t="s">
        <v>262</v>
      </c>
      <c r="C7" s="422" t="s">
        <v>261</v>
      </c>
      <c r="D7" s="424">
        <v>6.7166490000000003</v>
      </c>
      <c r="E7" s="424">
        <v>26.154679000000002</v>
      </c>
      <c r="F7" s="424">
        <v>1.464351</v>
      </c>
      <c r="G7" s="424">
        <v>11.580019999999999</v>
      </c>
      <c r="H7" s="424">
        <v>23.525300999999999</v>
      </c>
      <c r="I7" s="424">
        <v>20.902159000000001</v>
      </c>
      <c r="J7" s="424">
        <v>22.640346999999998</v>
      </c>
      <c r="K7" s="424">
        <v>6.570125</v>
      </c>
    </row>
    <row r="8" spans="1:13" x14ac:dyDescent="0.2">
      <c r="A8" s="423" t="s">
        <v>223</v>
      </c>
      <c r="B8" s="423" t="s">
        <v>263</v>
      </c>
      <c r="C8" s="423" t="s">
        <v>264</v>
      </c>
      <c r="D8" s="425">
        <v>11.454777999999999</v>
      </c>
      <c r="E8" s="425">
        <v>43.204023999999997</v>
      </c>
      <c r="F8" s="425">
        <v>1.9489749999999999</v>
      </c>
      <c r="G8" s="425">
        <v>19.982509</v>
      </c>
      <c r="H8" s="425">
        <v>98.376921999999993</v>
      </c>
      <c r="I8" s="425">
        <v>34.243800999999998</v>
      </c>
      <c r="J8" s="425">
        <v>37.888432000000002</v>
      </c>
      <c r="K8" s="425">
        <v>11.615904</v>
      </c>
    </row>
    <row r="9" spans="1:13" x14ac:dyDescent="0.2">
      <c r="A9" s="422" t="s">
        <v>224</v>
      </c>
      <c r="B9" s="422" t="s">
        <v>265</v>
      </c>
      <c r="C9" s="422" t="s">
        <v>264</v>
      </c>
      <c r="D9" s="424">
        <v>2.723668</v>
      </c>
      <c r="E9" s="424">
        <v>21.866056</v>
      </c>
      <c r="F9" s="422" t="s">
        <v>266</v>
      </c>
      <c r="G9" s="424">
        <v>2.4265180000000002</v>
      </c>
      <c r="H9" s="424">
        <v>67.486036999999996</v>
      </c>
      <c r="I9" s="424">
        <v>16.598087</v>
      </c>
      <c r="J9" s="424">
        <v>20.832699000000002</v>
      </c>
      <c r="K9" s="424">
        <v>2.4860479999999998</v>
      </c>
    </row>
    <row r="10" spans="1:13" x14ac:dyDescent="0.2">
      <c r="A10" s="423" t="s">
        <v>226</v>
      </c>
      <c r="B10" s="423" t="s">
        <v>267</v>
      </c>
      <c r="C10" s="423" t="s">
        <v>264</v>
      </c>
      <c r="D10" s="425">
        <v>2.914752</v>
      </c>
      <c r="E10" s="425">
        <v>13.619519</v>
      </c>
      <c r="F10" s="425">
        <v>1.2798989999999999</v>
      </c>
      <c r="G10" s="425">
        <v>3.4488729999999999</v>
      </c>
      <c r="H10" s="425">
        <v>21.201523000000002</v>
      </c>
      <c r="I10" s="425">
        <v>10.016092</v>
      </c>
      <c r="J10" s="425">
        <v>10.572469</v>
      </c>
      <c r="K10" s="425">
        <v>2.4738579999999999</v>
      </c>
    </row>
    <row r="11" spans="1:13" x14ac:dyDescent="0.2">
      <c r="A11" s="422" t="s">
        <v>225</v>
      </c>
      <c r="B11" s="422" t="s">
        <v>268</v>
      </c>
      <c r="C11" s="422" t="s">
        <v>264</v>
      </c>
      <c r="D11" s="424">
        <v>1.5827549999999999</v>
      </c>
      <c r="E11" s="424">
        <v>13.020999</v>
      </c>
      <c r="F11" s="424">
        <v>0.51762799999999998</v>
      </c>
      <c r="G11" s="424">
        <v>1.2264999999999999</v>
      </c>
      <c r="H11" s="422" t="s">
        <v>266</v>
      </c>
      <c r="I11" s="424">
        <v>7.5670590000000004</v>
      </c>
      <c r="J11" s="424">
        <v>8.1289529999999992</v>
      </c>
      <c r="K11" s="424">
        <v>1.3991119999999999</v>
      </c>
    </row>
    <row r="12" spans="1:13" x14ac:dyDescent="0.2">
      <c r="A12" s="426" t="s">
        <v>269</v>
      </c>
      <c r="B12" s="426" t="s">
        <v>270</v>
      </c>
      <c r="C12" s="426" t="s">
        <v>264</v>
      </c>
      <c r="D12" s="427">
        <v>6.8626649999999998</v>
      </c>
      <c r="E12" s="426" t="s">
        <v>266</v>
      </c>
      <c r="F12" s="427">
        <v>1.8533329999999999</v>
      </c>
      <c r="G12" s="427">
        <v>4.8321649999999998</v>
      </c>
      <c r="H12" s="427">
        <v>154.98820599999999</v>
      </c>
      <c r="I12" s="427">
        <v>226.68208300000001</v>
      </c>
      <c r="J12" s="426" t="s">
        <v>266</v>
      </c>
      <c r="K12" s="427">
        <v>6.1203589999999997</v>
      </c>
      <c r="M12" s="428" t="s">
        <v>310</v>
      </c>
    </row>
    <row r="13" spans="1:13" x14ac:dyDescent="0.2">
      <c r="A13" s="422" t="s">
        <v>227</v>
      </c>
      <c r="B13" s="422" t="s">
        <v>273</v>
      </c>
      <c r="C13" s="422" t="s">
        <v>264</v>
      </c>
      <c r="D13" s="424">
        <v>10.863557</v>
      </c>
      <c r="E13" s="424">
        <v>39.525948</v>
      </c>
      <c r="F13" s="424">
        <v>1.655133</v>
      </c>
      <c r="G13" s="424">
        <v>6.5240970000000003</v>
      </c>
      <c r="H13" s="424">
        <v>34.726056999999997</v>
      </c>
      <c r="I13" s="424">
        <v>31.037355000000002</v>
      </c>
      <c r="J13" s="424">
        <v>34.580173000000002</v>
      </c>
      <c r="K13" s="424">
        <v>9.2746870000000001</v>
      </c>
    </row>
    <row r="14" spans="1:13" x14ac:dyDescent="0.2">
      <c r="A14" s="423" t="s">
        <v>61</v>
      </c>
      <c r="B14" s="423"/>
      <c r="C14" s="423"/>
      <c r="D14" s="425">
        <v>6.5761539999999998</v>
      </c>
      <c r="E14" s="425">
        <v>26.847719000000001</v>
      </c>
      <c r="F14" s="425">
        <v>1.561623</v>
      </c>
      <c r="G14" s="425">
        <v>9.7352760000000007</v>
      </c>
      <c r="H14" s="425">
        <v>57.148814000000002</v>
      </c>
      <c r="I14" s="425">
        <v>43.291007999999998</v>
      </c>
      <c r="J14" s="425">
        <v>22.590102999999999</v>
      </c>
      <c r="K14" s="425">
        <v>6.2177550000000004</v>
      </c>
    </row>
    <row r="15" spans="1:13" x14ac:dyDescent="0.2">
      <c r="A15" s="422" t="s">
        <v>271</v>
      </c>
      <c r="B15" s="422"/>
      <c r="C15" s="422"/>
      <c r="D15" s="424">
        <v>6.7166490000000003</v>
      </c>
      <c r="E15" s="424">
        <v>24.010368</v>
      </c>
      <c r="F15" s="424">
        <v>1.7114279999999999</v>
      </c>
      <c r="G15" s="424">
        <v>6.5240970000000003</v>
      </c>
      <c r="H15" s="424">
        <v>33.905718</v>
      </c>
      <c r="I15" s="424">
        <v>20.902159000000001</v>
      </c>
      <c r="J15" s="424">
        <v>21.736522999999998</v>
      </c>
      <c r="K15" s="424">
        <v>6.1203589999999997</v>
      </c>
    </row>
    <row r="16" spans="1:13" x14ac:dyDescent="0.2">
      <c r="A16" s="420" t="s">
        <v>272</v>
      </c>
      <c r="B16" s="419"/>
      <c r="C16" s="419"/>
      <c r="D16" s="419"/>
      <c r="E16" s="419"/>
      <c r="F16" s="419"/>
      <c r="G16" s="419"/>
      <c r="H16" s="419"/>
      <c r="I16" s="419"/>
      <c r="J16" s="419"/>
      <c r="K16" s="419"/>
    </row>
    <row r="18" spans="1:11" x14ac:dyDescent="0.2">
      <c r="A18" s="433" t="s">
        <v>283</v>
      </c>
    </row>
    <row r="19" spans="1:11" x14ac:dyDescent="0.2">
      <c r="A19" s="421"/>
      <c r="B19" s="421"/>
      <c r="C19" s="421"/>
      <c r="D19" s="421" t="s">
        <v>242</v>
      </c>
      <c r="E19" s="421"/>
      <c r="F19" s="421"/>
      <c r="G19" s="421"/>
      <c r="H19" s="421" t="s">
        <v>243</v>
      </c>
      <c r="I19" s="421"/>
      <c r="J19" s="421"/>
      <c r="K19" s="421"/>
    </row>
    <row r="20" spans="1:11" x14ac:dyDescent="0.2">
      <c r="A20" s="421" t="s">
        <v>244</v>
      </c>
      <c r="B20" s="421"/>
      <c r="C20" s="421" t="s">
        <v>245</v>
      </c>
      <c r="D20" s="421" t="s">
        <v>246</v>
      </c>
      <c r="E20" s="421"/>
      <c r="F20" s="421" t="s">
        <v>247</v>
      </c>
      <c r="G20" s="421"/>
      <c r="H20" s="421" t="s">
        <v>29</v>
      </c>
      <c r="I20" s="421" t="s">
        <v>248</v>
      </c>
      <c r="J20" s="421" t="s">
        <v>248</v>
      </c>
      <c r="K20" s="421" t="s">
        <v>248</v>
      </c>
    </row>
    <row r="21" spans="1:11" x14ac:dyDescent="0.2">
      <c r="A21" s="421" t="s">
        <v>148</v>
      </c>
      <c r="B21" s="421" t="s">
        <v>249</v>
      </c>
      <c r="C21" s="421" t="s">
        <v>250</v>
      </c>
      <c r="D21" s="421" t="s">
        <v>251</v>
      </c>
      <c r="E21" s="421" t="s">
        <v>252</v>
      </c>
      <c r="F21" s="421" t="s">
        <v>253</v>
      </c>
      <c r="G21" s="421" t="s">
        <v>254</v>
      </c>
      <c r="H21" s="421" t="s">
        <v>251</v>
      </c>
      <c r="I21" s="421" t="s">
        <v>255</v>
      </c>
      <c r="J21" s="421" t="s">
        <v>256</v>
      </c>
      <c r="K21" s="421" t="s">
        <v>257</v>
      </c>
    </row>
    <row r="22" spans="1:11" x14ac:dyDescent="0.2">
      <c r="A22" s="422" t="s">
        <v>228</v>
      </c>
      <c r="B22" s="422" t="s">
        <v>258</v>
      </c>
      <c r="C22" s="422" t="s">
        <v>259</v>
      </c>
      <c r="D22" s="424">
        <v>5.8266819999999999</v>
      </c>
      <c r="E22" s="424">
        <v>21.079246999999999</v>
      </c>
      <c r="F22" s="424">
        <v>1.7677229999999999</v>
      </c>
      <c r="G22" s="424">
        <v>8.2081590000000002</v>
      </c>
      <c r="H22" s="424">
        <v>23.801088</v>
      </c>
      <c r="I22" s="424">
        <v>18.591635</v>
      </c>
      <c r="J22" s="424">
        <v>19.576813000000001</v>
      </c>
      <c r="K22" s="424">
        <v>5.6758670000000002</v>
      </c>
    </row>
    <row r="23" spans="1:11" x14ac:dyDescent="0.2">
      <c r="A23" s="422" t="s">
        <v>222</v>
      </c>
      <c r="B23" s="422" t="s">
        <v>262</v>
      </c>
      <c r="C23" s="422" t="s">
        <v>261</v>
      </c>
      <c r="D23" s="424">
        <v>6.7166490000000003</v>
      </c>
      <c r="E23" s="424">
        <v>26.154679000000002</v>
      </c>
      <c r="F23" s="424">
        <v>1.464351</v>
      </c>
      <c r="G23" s="424">
        <v>11.580019999999999</v>
      </c>
      <c r="H23" s="424">
        <v>23.525300999999999</v>
      </c>
      <c r="I23" s="424">
        <v>20.902159000000001</v>
      </c>
      <c r="J23" s="424">
        <v>22.640346999999998</v>
      </c>
      <c r="K23" s="424">
        <v>6.570125</v>
      </c>
    </row>
    <row r="24" spans="1:11" x14ac:dyDescent="0.2">
      <c r="A24" s="423" t="s">
        <v>226</v>
      </c>
      <c r="B24" s="423" t="s">
        <v>267</v>
      </c>
      <c r="C24" s="423" t="s">
        <v>264</v>
      </c>
      <c r="D24" s="425">
        <v>2.914752</v>
      </c>
      <c r="E24" s="425">
        <v>13.619519</v>
      </c>
      <c r="F24" s="425">
        <v>1.2798989999999999</v>
      </c>
      <c r="G24" s="425">
        <v>3.4488729999999999</v>
      </c>
      <c r="H24" s="425">
        <v>21.201523000000002</v>
      </c>
      <c r="I24" s="425">
        <v>10.016092</v>
      </c>
      <c r="J24" s="425">
        <v>10.572469</v>
      </c>
      <c r="K24" s="425">
        <v>2.4738579999999999</v>
      </c>
    </row>
    <row r="25" spans="1:11" x14ac:dyDescent="0.2">
      <c r="A25" t="s">
        <v>61</v>
      </c>
      <c r="D25" s="432">
        <f>AVERAGE(D22:D24)</f>
        <v>5.1526943333333337</v>
      </c>
      <c r="E25" s="432">
        <f t="shared" ref="E25:K25" si="0">AVERAGE(E22:E24)</f>
        <v>20.284481666666665</v>
      </c>
      <c r="F25" s="432">
        <f t="shared" si="0"/>
        <v>1.5039909999999999</v>
      </c>
      <c r="G25" s="432">
        <f t="shared" si="0"/>
        <v>7.7456839999999998</v>
      </c>
      <c r="H25" s="432">
        <f t="shared" si="0"/>
        <v>22.842637333333332</v>
      </c>
      <c r="I25" s="432">
        <f t="shared" si="0"/>
        <v>16.503295333333334</v>
      </c>
      <c r="J25" s="432">
        <f t="shared" si="0"/>
        <v>17.596543</v>
      </c>
      <c r="K25" s="432">
        <f t="shared" si="0"/>
        <v>4.9066166666666673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947B-064B-456D-92C2-451D632742B6}">
  <dimension ref="A1:S42"/>
  <sheetViews>
    <sheetView tabSelected="1" topLeftCell="A13" workbookViewId="0">
      <selection activeCell="G45" sqref="G45"/>
    </sheetView>
  </sheetViews>
  <sheetFormatPr baseColWidth="10" defaultColWidth="8.83203125" defaultRowHeight="15" x14ac:dyDescent="0.2"/>
  <cols>
    <col min="1" max="1" width="26.5" bestFit="1" customWidth="1"/>
    <col min="2" max="2" width="15.5" bestFit="1" customWidth="1"/>
    <col min="3" max="3" width="10.6640625" bestFit="1" customWidth="1"/>
    <col min="4" max="4" width="8" bestFit="1" customWidth="1"/>
    <col min="5" max="5" width="12" bestFit="1" customWidth="1"/>
    <col min="6" max="6" width="10.5" bestFit="1" customWidth="1"/>
    <col min="7" max="7" width="11.33203125" bestFit="1" customWidth="1"/>
  </cols>
  <sheetData>
    <row r="1" spans="1:6" x14ac:dyDescent="0.2">
      <c r="A1" s="416" t="s">
        <v>275</v>
      </c>
    </row>
    <row r="2" spans="1:6" x14ac:dyDescent="0.2">
      <c r="A2" s="386"/>
      <c r="B2" s="386"/>
      <c r="C2" s="386"/>
      <c r="D2" s="386" t="s">
        <v>276</v>
      </c>
      <c r="E2" s="386"/>
      <c r="F2" s="386" t="s">
        <v>276</v>
      </c>
    </row>
    <row r="3" spans="1:6" x14ac:dyDescent="0.2">
      <c r="A3" s="386" t="s">
        <v>244</v>
      </c>
      <c r="B3" s="386"/>
      <c r="C3" s="386"/>
      <c r="D3" s="386" t="s">
        <v>277</v>
      </c>
      <c r="E3" s="386" t="s">
        <v>278</v>
      </c>
      <c r="F3" s="386" t="s">
        <v>2</v>
      </c>
    </row>
    <row r="4" spans="1:6" x14ac:dyDescent="0.2">
      <c r="A4" s="386" t="s">
        <v>148</v>
      </c>
      <c r="B4" s="386" t="s">
        <v>249</v>
      </c>
      <c r="C4" s="386" t="s">
        <v>279</v>
      </c>
      <c r="D4" s="386" t="s">
        <v>280</v>
      </c>
      <c r="E4" s="386" t="s">
        <v>281</v>
      </c>
      <c r="F4" s="386" t="s">
        <v>282</v>
      </c>
    </row>
    <row r="5" spans="1:6" x14ac:dyDescent="0.2">
      <c r="A5" s="385" t="s">
        <v>228</v>
      </c>
      <c r="B5" s="385" t="s">
        <v>258</v>
      </c>
      <c r="C5" s="429">
        <v>43.910057999999999</v>
      </c>
      <c r="D5" s="417">
        <v>0.83728599999999997</v>
      </c>
      <c r="E5" s="429">
        <v>27.780885000000001</v>
      </c>
      <c r="F5" s="417">
        <v>1.7859339999999999</v>
      </c>
    </row>
    <row r="6" spans="1:6" x14ac:dyDescent="0.2">
      <c r="A6" s="305" t="s">
        <v>221</v>
      </c>
      <c r="B6" s="305" t="s">
        <v>260</v>
      </c>
      <c r="C6" s="430">
        <v>87.845433</v>
      </c>
      <c r="D6" s="418">
        <v>0.66385799999999995</v>
      </c>
      <c r="E6" s="430">
        <v>28.200243</v>
      </c>
      <c r="F6" s="418">
        <v>4.5819660000000004</v>
      </c>
    </row>
    <row r="7" spans="1:6" x14ac:dyDescent="0.2">
      <c r="A7" s="385" t="s">
        <v>222</v>
      </c>
      <c r="B7" s="385" t="s">
        <v>262</v>
      </c>
      <c r="C7" s="429">
        <v>45.705761000000003</v>
      </c>
      <c r="D7" s="417">
        <v>0.79439499999999996</v>
      </c>
      <c r="E7" s="429">
        <v>25.680461999999999</v>
      </c>
      <c r="F7" s="417">
        <v>2.1950729999999998</v>
      </c>
    </row>
    <row r="8" spans="1:6" x14ac:dyDescent="0.2">
      <c r="A8" s="305" t="s">
        <v>223</v>
      </c>
      <c r="B8" s="305" t="s">
        <v>263</v>
      </c>
      <c r="C8" s="430">
        <v>53.272027999999999</v>
      </c>
      <c r="D8" s="418">
        <v>0.65515500000000004</v>
      </c>
      <c r="E8" s="430">
        <v>26.503371999999999</v>
      </c>
      <c r="F8" s="418">
        <v>2.769387</v>
      </c>
    </row>
    <row r="9" spans="1:6" x14ac:dyDescent="0.2">
      <c r="A9" s="385" t="s">
        <v>224</v>
      </c>
      <c r="B9" s="385" t="s">
        <v>265</v>
      </c>
      <c r="C9" s="429">
        <v>12.659563</v>
      </c>
      <c r="D9" s="417">
        <v>0.56962500000000005</v>
      </c>
      <c r="E9" s="429">
        <v>11.976718</v>
      </c>
      <c r="F9" s="417">
        <v>1.7274020000000001</v>
      </c>
    </row>
    <row r="10" spans="1:6" x14ac:dyDescent="0.2">
      <c r="A10" s="305" t="s">
        <v>226</v>
      </c>
      <c r="B10" s="305" t="s">
        <v>267</v>
      </c>
      <c r="C10" s="430">
        <v>28.522946999999998</v>
      </c>
      <c r="D10" s="418">
        <v>0.92235800000000001</v>
      </c>
      <c r="E10" s="430">
        <v>21.542819000000001</v>
      </c>
      <c r="F10" s="418">
        <v>1.37805</v>
      </c>
    </row>
    <row r="11" spans="1:6" x14ac:dyDescent="0.2">
      <c r="A11" s="385" t="s">
        <v>225</v>
      </c>
      <c r="B11" s="385" t="s">
        <v>268</v>
      </c>
      <c r="C11" s="429">
        <v>11.149527000000001</v>
      </c>
      <c r="D11" s="417">
        <v>0.464777</v>
      </c>
      <c r="E11" s="429">
        <v>12.258763</v>
      </c>
      <c r="F11" s="417">
        <v>2.0014850000000002</v>
      </c>
    </row>
    <row r="12" spans="1:6" x14ac:dyDescent="0.2">
      <c r="A12" s="305" t="s">
        <v>269</v>
      </c>
      <c r="B12" s="305" t="s">
        <v>270</v>
      </c>
      <c r="C12" s="431">
        <v>-1.2153670000000001</v>
      </c>
      <c r="D12" s="418">
        <v>0.565882</v>
      </c>
      <c r="E12" s="431">
        <v>-1.6660060000000001</v>
      </c>
      <c r="F12" s="418">
        <v>1.2836320000000001</v>
      </c>
    </row>
    <row r="13" spans="1:6" x14ac:dyDescent="0.2">
      <c r="A13" s="385" t="s">
        <v>227</v>
      </c>
      <c r="B13" s="385" t="s">
        <v>273</v>
      </c>
      <c r="C13" s="429">
        <v>20.433917999999998</v>
      </c>
      <c r="D13" s="417">
        <v>0.49138999999999999</v>
      </c>
      <c r="E13" s="429">
        <v>27.374694000000002</v>
      </c>
      <c r="F13" s="417">
        <v>1.479919</v>
      </c>
    </row>
    <row r="14" spans="1:6" x14ac:dyDescent="0.2">
      <c r="A14" s="305" t="s">
        <v>61</v>
      </c>
      <c r="B14" s="305"/>
      <c r="C14" s="430">
        <v>33.587096000000003</v>
      </c>
      <c r="D14" s="418">
        <v>0.66274699999999998</v>
      </c>
      <c r="E14" s="430">
        <v>19.961328000000002</v>
      </c>
      <c r="F14" s="418">
        <v>2.1336499999999998</v>
      </c>
    </row>
    <row r="15" spans="1:6" x14ac:dyDescent="0.2">
      <c r="A15" s="385" t="s">
        <v>271</v>
      </c>
      <c r="B15" s="385"/>
      <c r="C15" s="429">
        <v>28.522946999999998</v>
      </c>
      <c r="D15" s="417">
        <v>0.65515500000000004</v>
      </c>
      <c r="E15" s="429">
        <v>25.680461999999999</v>
      </c>
      <c r="F15" s="417">
        <v>1.7859339999999999</v>
      </c>
    </row>
    <row r="16" spans="1:6" x14ac:dyDescent="0.2">
      <c r="A16" s="416" t="s">
        <v>272</v>
      </c>
    </row>
    <row r="19" spans="1:19" x14ac:dyDescent="0.2">
      <c r="A19" s="433" t="s">
        <v>274</v>
      </c>
    </row>
    <row r="20" spans="1:19" ht="23.25" customHeight="1" x14ac:dyDescent="0.2">
      <c r="A20" s="386"/>
      <c r="B20" s="386"/>
      <c r="C20" s="443"/>
      <c r="D20" s="444" t="s">
        <v>276</v>
      </c>
      <c r="E20" s="443"/>
      <c r="F20" s="386" t="s">
        <v>276</v>
      </c>
    </row>
    <row r="21" spans="1:19" ht="17.25" customHeight="1" x14ac:dyDescent="0.2">
      <c r="A21" s="386" t="s">
        <v>244</v>
      </c>
      <c r="B21" s="386"/>
      <c r="C21" s="443"/>
      <c r="D21" s="386" t="s">
        <v>277</v>
      </c>
      <c r="E21" s="386" t="s">
        <v>278</v>
      </c>
      <c r="F21" s="386" t="s">
        <v>2</v>
      </c>
    </row>
    <row r="22" spans="1:19" x14ac:dyDescent="0.2">
      <c r="A22" s="386" t="s">
        <v>148</v>
      </c>
      <c r="B22" s="386" t="s">
        <v>249</v>
      </c>
      <c r="C22" s="386" t="s">
        <v>279</v>
      </c>
      <c r="D22" s="386" t="s">
        <v>280</v>
      </c>
      <c r="E22" s="386" t="s">
        <v>281</v>
      </c>
      <c r="F22" s="386" t="s">
        <v>282</v>
      </c>
    </row>
    <row r="23" spans="1:19" x14ac:dyDescent="0.2">
      <c r="A23" s="422" t="s">
        <v>228</v>
      </c>
      <c r="B23" s="422" t="s">
        <v>258</v>
      </c>
      <c r="C23" s="429">
        <v>43.910057999999999</v>
      </c>
      <c r="D23" s="417">
        <v>0.83728599999999997</v>
      </c>
      <c r="E23" s="429">
        <v>27.780885000000001</v>
      </c>
      <c r="F23" s="417">
        <v>1.7859339999999999</v>
      </c>
    </row>
    <row r="24" spans="1:19" x14ac:dyDescent="0.2">
      <c r="A24" s="422" t="s">
        <v>222</v>
      </c>
      <c r="B24" s="422" t="s">
        <v>262</v>
      </c>
      <c r="C24" s="429">
        <v>45.705761000000003</v>
      </c>
      <c r="D24" s="417">
        <v>0.79439499999999996</v>
      </c>
      <c r="E24" s="429">
        <v>25.680461999999999</v>
      </c>
      <c r="F24" s="417">
        <v>2.1950729999999998</v>
      </c>
    </row>
    <row r="25" spans="1:19" x14ac:dyDescent="0.2">
      <c r="A25" s="445" t="s">
        <v>226</v>
      </c>
      <c r="B25" s="445" t="s">
        <v>267</v>
      </c>
      <c r="C25" s="446">
        <v>28.522946999999998</v>
      </c>
      <c r="D25" s="447">
        <v>0.92235800000000001</v>
      </c>
      <c r="E25" s="446">
        <v>21.542819000000001</v>
      </c>
      <c r="F25" s="447">
        <v>1.37805</v>
      </c>
    </row>
    <row r="26" spans="1:19" x14ac:dyDescent="0.2">
      <c r="A26" t="s">
        <v>311</v>
      </c>
      <c r="C26" s="448">
        <f>AVERAGE(C23:C25)</f>
        <v>39.37958866666667</v>
      </c>
      <c r="D26" s="448">
        <f t="shared" ref="D26:F26" si="0">AVERAGE(D23:D25)</f>
        <v>0.85134633333333332</v>
      </c>
      <c r="E26" s="448">
        <f t="shared" si="0"/>
        <v>25.001388666666667</v>
      </c>
      <c r="F26" s="448">
        <f t="shared" si="0"/>
        <v>1.7863523333333333</v>
      </c>
    </row>
    <row r="28" spans="1:19" x14ac:dyDescent="0.2">
      <c r="A28" s="420" t="s">
        <v>284</v>
      </c>
      <c r="B28" s="419"/>
      <c r="C28" s="419"/>
      <c r="D28" s="419"/>
      <c r="E28" s="419"/>
      <c r="F28" s="419"/>
      <c r="G28" s="419"/>
      <c r="H28" s="419"/>
      <c r="I28" s="419"/>
      <c r="J28" s="419"/>
      <c r="K28" s="419"/>
      <c r="L28" s="419"/>
      <c r="M28" s="419"/>
      <c r="N28" s="419"/>
      <c r="O28" s="419"/>
      <c r="P28" s="419"/>
      <c r="Q28" s="419"/>
      <c r="R28" s="419"/>
      <c r="S28" s="419"/>
    </row>
    <row r="29" spans="1:19" x14ac:dyDescent="0.2">
      <c r="A29" s="421"/>
      <c r="B29" s="421"/>
      <c r="C29" s="421"/>
      <c r="D29" s="421"/>
      <c r="E29" s="421" t="s">
        <v>285</v>
      </c>
      <c r="F29" s="421"/>
      <c r="G29" s="421"/>
      <c r="H29" s="421"/>
      <c r="I29" s="421" t="s">
        <v>286</v>
      </c>
      <c r="J29" s="421"/>
      <c r="K29" s="421" t="s">
        <v>287</v>
      </c>
      <c r="L29" s="421"/>
      <c r="M29" s="421" t="s">
        <v>252</v>
      </c>
      <c r="N29" s="421"/>
      <c r="O29" s="421" t="s">
        <v>288</v>
      </c>
      <c r="P29" s="421"/>
      <c r="Q29" s="421"/>
      <c r="R29" s="421"/>
      <c r="S29" s="421"/>
    </row>
    <row r="30" spans="1:19" x14ac:dyDescent="0.2">
      <c r="A30" s="421" t="s">
        <v>244</v>
      </c>
      <c r="B30" s="421"/>
      <c r="C30" s="421" t="s">
        <v>245</v>
      </c>
      <c r="D30" s="421"/>
      <c r="E30" s="421" t="s">
        <v>242</v>
      </c>
      <c r="F30" s="421" t="s">
        <v>289</v>
      </c>
      <c r="G30" s="421" t="s">
        <v>290</v>
      </c>
      <c r="H30" s="421" t="s">
        <v>278</v>
      </c>
      <c r="I30" s="421" t="s">
        <v>291</v>
      </c>
      <c r="J30" s="421" t="s">
        <v>248</v>
      </c>
      <c r="K30" s="421"/>
      <c r="L30" s="421"/>
      <c r="M30" s="421"/>
      <c r="N30" s="421"/>
      <c r="O30" s="421"/>
      <c r="P30" s="421"/>
      <c r="Q30" s="421" t="s">
        <v>29</v>
      </c>
      <c r="R30" s="421" t="s">
        <v>292</v>
      </c>
      <c r="S30" s="421" t="s">
        <v>293</v>
      </c>
    </row>
    <row r="31" spans="1:19" x14ac:dyDescent="0.2">
      <c r="A31" s="421" t="s">
        <v>148</v>
      </c>
      <c r="B31" s="421" t="s">
        <v>249</v>
      </c>
      <c r="C31" s="421" t="s">
        <v>250</v>
      </c>
      <c r="D31" s="421" t="s">
        <v>242</v>
      </c>
      <c r="E31" s="421" t="s">
        <v>294</v>
      </c>
      <c r="F31" s="421" t="s">
        <v>295</v>
      </c>
      <c r="G31" s="421" t="s">
        <v>295</v>
      </c>
      <c r="H31" s="421" t="s">
        <v>296</v>
      </c>
      <c r="I31" s="421" t="s">
        <v>123</v>
      </c>
      <c r="J31" s="421" t="s">
        <v>123</v>
      </c>
      <c r="K31" s="421" t="s">
        <v>297</v>
      </c>
      <c r="L31" s="421" t="s">
        <v>298</v>
      </c>
      <c r="M31" s="421" t="s">
        <v>297</v>
      </c>
      <c r="N31" s="421" t="s">
        <v>298</v>
      </c>
      <c r="O31" s="421" t="s">
        <v>297</v>
      </c>
      <c r="P31" s="421" t="s">
        <v>298</v>
      </c>
      <c r="Q31" s="421" t="s">
        <v>299</v>
      </c>
      <c r="R31" s="421" t="s">
        <v>299</v>
      </c>
      <c r="S31" s="421" t="s">
        <v>300</v>
      </c>
    </row>
    <row r="32" spans="1:19" x14ac:dyDescent="0.2">
      <c r="A32" s="422" t="s">
        <v>228</v>
      </c>
      <c r="B32" s="422" t="s">
        <v>258</v>
      </c>
      <c r="C32" s="422" t="s">
        <v>259</v>
      </c>
      <c r="D32" s="437">
        <v>187.58000200000001</v>
      </c>
      <c r="E32" s="437">
        <v>238.678574</v>
      </c>
      <c r="F32" s="434">
        <v>153893.09882700001</v>
      </c>
      <c r="G32" s="434">
        <v>156705.09882700001</v>
      </c>
      <c r="H32" s="436">
        <v>-2432</v>
      </c>
      <c r="I32" s="424">
        <v>5.8266819999999999</v>
      </c>
      <c r="J32" s="424">
        <v>5.7386400000000002</v>
      </c>
      <c r="K32" s="424">
        <v>18.613886999999998</v>
      </c>
      <c r="L32" s="424">
        <v>16.142666999999999</v>
      </c>
      <c r="M32" s="424">
        <v>21.987379000000001</v>
      </c>
      <c r="N32" s="424">
        <v>19.192108000000001</v>
      </c>
      <c r="O32" s="424">
        <v>23.354085999999999</v>
      </c>
      <c r="P32" s="424">
        <v>22.605446000000001</v>
      </c>
      <c r="Q32" s="438">
        <v>6.8446170000000004</v>
      </c>
      <c r="R32" s="438">
        <v>0.85296899999999998</v>
      </c>
      <c r="S32" s="422" t="s">
        <v>301</v>
      </c>
    </row>
    <row r="33" spans="1:19" x14ac:dyDescent="0.2">
      <c r="A33" s="423" t="s">
        <v>221</v>
      </c>
      <c r="B33" s="423" t="s">
        <v>260</v>
      </c>
      <c r="C33" s="423" t="s">
        <v>261</v>
      </c>
      <c r="D33" s="439">
        <v>736.40002400000003</v>
      </c>
      <c r="E33" s="439">
        <v>871.77728300000001</v>
      </c>
      <c r="F33" s="435">
        <v>102251.87500099999</v>
      </c>
      <c r="G33" s="435">
        <v>100070.885001</v>
      </c>
      <c r="H33" s="435">
        <v>2315.6480000000001</v>
      </c>
      <c r="I33" s="425">
        <v>10.239882</v>
      </c>
      <c r="J33" s="425">
        <v>10.440391999999999</v>
      </c>
      <c r="K33" s="425">
        <v>20.147791000000002</v>
      </c>
      <c r="L33" s="425">
        <v>17.906226</v>
      </c>
      <c r="M33" s="425">
        <v>24.665130999999999</v>
      </c>
      <c r="N33" s="425">
        <v>21.857821999999999</v>
      </c>
      <c r="O33" s="425">
        <v>24.115272999999998</v>
      </c>
      <c r="P33" s="425">
        <v>21.330501999999999</v>
      </c>
      <c r="Q33" s="440">
        <v>2.6994899999999999</v>
      </c>
      <c r="R33" s="440">
        <v>0.78761499999999995</v>
      </c>
      <c r="S33" s="423" t="s">
        <v>302</v>
      </c>
    </row>
    <row r="34" spans="1:19" x14ac:dyDescent="0.2">
      <c r="A34" s="422" t="s">
        <v>222</v>
      </c>
      <c r="B34" s="422" t="s">
        <v>262</v>
      </c>
      <c r="C34" s="422" t="s">
        <v>261</v>
      </c>
      <c r="D34" s="437">
        <v>758.46997099999999</v>
      </c>
      <c r="E34" s="437">
        <v>1042.576904</v>
      </c>
      <c r="F34" s="434">
        <v>98356.836960000001</v>
      </c>
      <c r="G34" s="434">
        <v>99237.331959999996</v>
      </c>
      <c r="H34" s="436">
        <v>-576.80600000000004</v>
      </c>
      <c r="I34" s="424">
        <v>6.7166490000000003</v>
      </c>
      <c r="J34" s="424">
        <v>6.5987450000000001</v>
      </c>
      <c r="K34" s="424">
        <v>17.613054999999999</v>
      </c>
      <c r="L34" s="424">
        <v>14.105129</v>
      </c>
      <c r="M34" s="424">
        <v>21.246853000000002</v>
      </c>
      <c r="N34" s="424">
        <v>16.720057000000001</v>
      </c>
      <c r="O34" s="424">
        <v>22.211255999999999</v>
      </c>
      <c r="P34" s="424">
        <v>17.891607</v>
      </c>
      <c r="Q34" s="438">
        <v>3.027714</v>
      </c>
      <c r="R34" s="438">
        <v>1.212968</v>
      </c>
      <c r="S34" s="422" t="s">
        <v>303</v>
      </c>
    </row>
    <row r="35" spans="1:19" x14ac:dyDescent="0.2">
      <c r="A35" s="423" t="s">
        <v>223</v>
      </c>
      <c r="B35" s="423" t="s">
        <v>263</v>
      </c>
      <c r="C35" s="423" t="s">
        <v>264</v>
      </c>
      <c r="D35" s="439">
        <v>800.81683299999997</v>
      </c>
      <c r="E35" s="439">
        <v>1180.709595</v>
      </c>
      <c r="F35" s="435">
        <v>314096.08772200003</v>
      </c>
      <c r="G35" s="435">
        <v>315610.469851</v>
      </c>
      <c r="H35" s="441">
        <v>-440.16769399999998</v>
      </c>
      <c r="I35" s="425">
        <v>11.454777999999999</v>
      </c>
      <c r="J35" s="425">
        <v>11.417507000000001</v>
      </c>
      <c r="K35" s="425">
        <v>29.590135</v>
      </c>
      <c r="L35" s="425">
        <v>19.312956</v>
      </c>
      <c r="M35" s="425">
        <v>38.160271000000002</v>
      </c>
      <c r="N35" s="425">
        <v>24.127666000000001</v>
      </c>
      <c r="O35" s="425">
        <v>60.648696999999999</v>
      </c>
      <c r="P35" s="425">
        <v>34.127727999999998</v>
      </c>
      <c r="Q35" s="440">
        <v>1.223787</v>
      </c>
      <c r="R35" s="440">
        <v>0.85706300000000002</v>
      </c>
      <c r="S35" s="423" t="s">
        <v>304</v>
      </c>
    </row>
    <row r="36" spans="1:19" x14ac:dyDescent="0.2">
      <c r="A36" s="422" t="s">
        <v>224</v>
      </c>
      <c r="B36" s="422" t="s">
        <v>265</v>
      </c>
      <c r="C36" s="422" t="s">
        <v>264</v>
      </c>
      <c r="D36" s="437">
        <v>30.559999000000001</v>
      </c>
      <c r="E36" s="437">
        <v>42.857143000000001</v>
      </c>
      <c r="F36" s="434">
        <v>1834.600874</v>
      </c>
      <c r="G36" s="434">
        <v>2145.6968740000002</v>
      </c>
      <c r="H36" s="434">
        <v>8.9979999999999993</v>
      </c>
      <c r="I36" s="424">
        <v>2.723668</v>
      </c>
      <c r="J36" s="424">
        <v>2.614684</v>
      </c>
      <c r="K36" s="424">
        <v>14.551186</v>
      </c>
      <c r="L36" s="424">
        <v>12.449678</v>
      </c>
      <c r="M36" s="424">
        <v>17.218008000000001</v>
      </c>
      <c r="N36" s="424">
        <v>14.518537999999999</v>
      </c>
      <c r="O36" s="422" t="s">
        <v>266</v>
      </c>
      <c r="P36" s="422" t="s">
        <v>266</v>
      </c>
      <c r="Q36" s="438">
        <v>2.0224730000000002</v>
      </c>
      <c r="R36" s="438">
        <v>0</v>
      </c>
      <c r="S36" s="422" t="s">
        <v>305</v>
      </c>
    </row>
    <row r="37" spans="1:19" x14ac:dyDescent="0.2">
      <c r="A37" s="423" t="s">
        <v>226</v>
      </c>
      <c r="B37" s="423" t="s">
        <v>267</v>
      </c>
      <c r="C37" s="423" t="s">
        <v>264</v>
      </c>
      <c r="D37" s="439">
        <v>98.860000999999997</v>
      </c>
      <c r="E37" s="439">
        <v>149</v>
      </c>
      <c r="F37" s="435">
        <v>2714.434381</v>
      </c>
      <c r="G37" s="435">
        <v>3259.5833809999999</v>
      </c>
      <c r="H37" s="441">
        <v>-474.887</v>
      </c>
      <c r="I37" s="425">
        <v>2.914752</v>
      </c>
      <c r="J37" s="425">
        <v>2.4421409999999999</v>
      </c>
      <c r="K37" s="425">
        <v>11.954388</v>
      </c>
      <c r="L37" s="425">
        <v>9.9601209999999991</v>
      </c>
      <c r="M37" s="425">
        <v>16.306805000000001</v>
      </c>
      <c r="N37" s="425">
        <v>13.350439</v>
      </c>
      <c r="O37" s="423" t="s">
        <v>266</v>
      </c>
      <c r="P37" s="423" t="s">
        <v>266</v>
      </c>
      <c r="Q37" s="440">
        <v>3.1668829999999999</v>
      </c>
      <c r="R37" s="440">
        <v>0</v>
      </c>
      <c r="S37" s="423" t="s">
        <v>306</v>
      </c>
    </row>
    <row r="38" spans="1:19" x14ac:dyDescent="0.2">
      <c r="A38" s="422" t="s">
        <v>225</v>
      </c>
      <c r="B38" s="422" t="s">
        <v>268</v>
      </c>
      <c r="C38" s="422" t="s">
        <v>264</v>
      </c>
      <c r="D38" s="437">
        <v>16.370000999999998</v>
      </c>
      <c r="E38" s="437">
        <v>34.75</v>
      </c>
      <c r="F38" s="434">
        <v>1001.27935</v>
      </c>
      <c r="G38" s="434">
        <v>1091.7073499999999</v>
      </c>
      <c r="H38" s="436">
        <v>-220.49700000000001</v>
      </c>
      <c r="I38" s="424">
        <v>1.5827549999999999</v>
      </c>
      <c r="J38" s="424">
        <v>1.4436789999999999</v>
      </c>
      <c r="K38" s="424">
        <v>6.8089339999999998</v>
      </c>
      <c r="L38" s="424">
        <v>5.6279789999999998</v>
      </c>
      <c r="M38" s="424">
        <v>10.35257</v>
      </c>
      <c r="N38" s="424">
        <v>8.9270619999999994</v>
      </c>
      <c r="O38" s="422" t="s">
        <v>266</v>
      </c>
      <c r="P38" s="422" t="s">
        <v>266</v>
      </c>
      <c r="Q38" s="442">
        <v>-10.823777</v>
      </c>
      <c r="R38" s="438">
        <v>0</v>
      </c>
      <c r="S38" s="422" t="s">
        <v>307</v>
      </c>
    </row>
    <row r="39" spans="1:19" x14ac:dyDescent="0.2">
      <c r="A39" s="423" t="s">
        <v>269</v>
      </c>
      <c r="B39" s="423" t="s">
        <v>270</v>
      </c>
      <c r="C39" s="423" t="s">
        <v>264</v>
      </c>
      <c r="D39" s="439">
        <v>29.190000999999999</v>
      </c>
      <c r="E39" s="439">
        <v>42.75</v>
      </c>
      <c r="F39" s="435">
        <v>1060.9434000000001</v>
      </c>
      <c r="G39" s="435">
        <v>1178.8184000000001</v>
      </c>
      <c r="H39" s="441">
        <v>-112.26300000000001</v>
      </c>
      <c r="I39" s="425">
        <v>6.8626649999999998</v>
      </c>
      <c r="J39" s="425">
        <v>6.3741000000000003</v>
      </c>
      <c r="K39" s="423" t="s">
        <v>266</v>
      </c>
      <c r="L39" s="423" t="s">
        <v>266</v>
      </c>
      <c r="M39" s="425">
        <v>37.066665999999998</v>
      </c>
      <c r="N39" s="425">
        <v>28</v>
      </c>
      <c r="O39" s="423" t="s">
        <v>266</v>
      </c>
      <c r="P39" s="423" t="s">
        <v>266</v>
      </c>
      <c r="Q39" s="440">
        <v>0.26169999999999999</v>
      </c>
      <c r="R39" s="440">
        <v>0</v>
      </c>
      <c r="S39" s="423" t="s">
        <v>307</v>
      </c>
    </row>
    <row r="40" spans="1:19" x14ac:dyDescent="0.2">
      <c r="A40" s="422" t="s">
        <v>227</v>
      </c>
      <c r="B40" s="422" t="s">
        <v>273</v>
      </c>
      <c r="C40" s="422" t="s">
        <v>264</v>
      </c>
      <c r="D40" s="437">
        <v>189.270004</v>
      </c>
      <c r="E40" s="437">
        <v>242.800003</v>
      </c>
      <c r="F40" s="434">
        <v>5601.9528090000003</v>
      </c>
      <c r="G40" s="434">
        <v>6141.468809</v>
      </c>
      <c r="H40" s="436">
        <v>-296.56400000000002</v>
      </c>
      <c r="I40" s="424">
        <v>10.863557</v>
      </c>
      <c r="J40" s="424">
        <v>9.9735130000000005</v>
      </c>
      <c r="K40" s="424">
        <v>25.749385</v>
      </c>
      <c r="L40" s="424">
        <v>22.096191999999999</v>
      </c>
      <c r="M40" s="424">
        <v>29.727446</v>
      </c>
      <c r="N40" s="424">
        <v>25.977121</v>
      </c>
      <c r="O40" s="424">
        <v>32.689121</v>
      </c>
      <c r="P40" s="424">
        <v>27.390739</v>
      </c>
      <c r="Q40" s="438">
        <v>2.4121130000000002</v>
      </c>
      <c r="R40" s="438">
        <v>0</v>
      </c>
      <c r="S40" s="422" t="s">
        <v>306</v>
      </c>
    </row>
    <row r="41" spans="1:19" x14ac:dyDescent="0.2">
      <c r="A41" s="423" t="s">
        <v>61</v>
      </c>
      <c r="B41" s="423"/>
      <c r="C41" s="423"/>
      <c r="D41" s="423"/>
      <c r="E41" s="423"/>
      <c r="F41" s="423"/>
      <c r="G41" s="423"/>
      <c r="H41" s="423"/>
      <c r="I41" s="425">
        <v>6.5761539999999998</v>
      </c>
      <c r="J41" s="425">
        <v>6.3381559999999997</v>
      </c>
      <c r="K41" s="425">
        <v>18.128595000000001</v>
      </c>
      <c r="L41" s="425">
        <v>14.700119000000001</v>
      </c>
      <c r="M41" s="425">
        <v>24.081237000000002</v>
      </c>
      <c r="N41" s="425">
        <v>19.185645999999998</v>
      </c>
      <c r="O41" s="425">
        <v>32.603687000000001</v>
      </c>
      <c r="P41" s="425">
        <v>24.669204000000001</v>
      </c>
      <c r="Q41" s="440">
        <v>1.203889</v>
      </c>
      <c r="R41" s="423" t="s">
        <v>266</v>
      </c>
      <c r="S41" s="423"/>
    </row>
    <row r="42" spans="1:19" x14ac:dyDescent="0.2">
      <c r="A42" s="422" t="s">
        <v>271</v>
      </c>
      <c r="B42" s="422"/>
      <c r="C42" s="422"/>
      <c r="D42" s="422"/>
      <c r="E42" s="422"/>
      <c r="F42" s="422"/>
      <c r="G42" s="422"/>
      <c r="H42" s="422"/>
      <c r="I42" s="424">
        <v>6.7166490000000003</v>
      </c>
      <c r="J42" s="424">
        <v>6.3741000000000003</v>
      </c>
      <c r="K42" s="424">
        <v>18.113471000000001</v>
      </c>
      <c r="L42" s="424">
        <v>15.123898000000001</v>
      </c>
      <c r="M42" s="424">
        <v>21.987379000000001</v>
      </c>
      <c r="N42" s="424">
        <v>19.192108000000001</v>
      </c>
      <c r="O42" s="424">
        <v>24.115272999999998</v>
      </c>
      <c r="P42" s="424">
        <v>22.605446000000001</v>
      </c>
      <c r="Q42" s="438">
        <v>2.4121130000000002</v>
      </c>
      <c r="R42" s="438">
        <v>0</v>
      </c>
      <c r="S42" s="42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EDB4A-E7FD-4F8B-86DE-D8F92CD85489}">
  <dimension ref="A1:D35"/>
  <sheetViews>
    <sheetView workbookViewId="0">
      <selection activeCell="B35" sqref="B35"/>
    </sheetView>
  </sheetViews>
  <sheetFormatPr baseColWidth="10" defaultColWidth="8.83203125" defaultRowHeight="15" x14ac:dyDescent="0.2"/>
  <cols>
    <col min="2" max="2" width="32.6640625" bestFit="1" customWidth="1"/>
  </cols>
  <sheetData>
    <row r="1" spans="1:4" x14ac:dyDescent="0.2">
      <c r="B1" t="s">
        <v>313</v>
      </c>
      <c r="C1" t="s">
        <v>312</v>
      </c>
      <c r="D1" t="s">
        <v>317</v>
      </c>
    </row>
    <row r="2" spans="1:4" x14ac:dyDescent="0.2">
      <c r="A2">
        <v>1</v>
      </c>
      <c r="B2" t="s">
        <v>318</v>
      </c>
      <c r="C2">
        <v>5</v>
      </c>
      <c r="D2">
        <v>5</v>
      </c>
    </row>
    <row r="3" spans="1:4" x14ac:dyDescent="0.2">
      <c r="A3">
        <v>2</v>
      </c>
      <c r="B3" t="s">
        <v>319</v>
      </c>
      <c r="C3">
        <v>1</v>
      </c>
      <c r="D3">
        <v>1</v>
      </c>
    </row>
    <row r="4" spans="1:4" x14ac:dyDescent="0.2">
      <c r="A4">
        <v>3</v>
      </c>
      <c r="B4" t="s">
        <v>320</v>
      </c>
      <c r="C4">
        <v>1</v>
      </c>
      <c r="D4">
        <v>1</v>
      </c>
    </row>
    <row r="5" spans="1:4" x14ac:dyDescent="0.2">
      <c r="A5">
        <v>4</v>
      </c>
      <c r="B5" t="s">
        <v>321</v>
      </c>
      <c r="C5">
        <v>4</v>
      </c>
      <c r="D5">
        <v>3</v>
      </c>
    </row>
    <row r="6" spans="1:4" x14ac:dyDescent="0.2">
      <c r="A6">
        <v>5</v>
      </c>
      <c r="B6" t="s">
        <v>322</v>
      </c>
      <c r="C6">
        <v>3</v>
      </c>
      <c r="D6">
        <v>3</v>
      </c>
    </row>
    <row r="33" spans="2:2" x14ac:dyDescent="0.2">
      <c r="B33" s="470" t="s">
        <v>323</v>
      </c>
    </row>
    <row r="34" spans="2:2" x14ac:dyDescent="0.2">
      <c r="B34" s="470" t="s">
        <v>324</v>
      </c>
    </row>
    <row r="35" spans="2:2" x14ac:dyDescent="0.2">
      <c r="B35" s="470" t="s">
        <v>325</v>
      </c>
    </row>
  </sheetData>
  <hyperlinks>
    <hyperlink ref="B33" r:id="rId1" xr:uid="{EC4A55BC-C5EA-CD4A-86EA-256D87B2B3FD}"/>
    <hyperlink ref="B34" r:id="rId2" xr:uid="{8F758181-BBDE-EA4A-8E66-67563B91A55A}"/>
    <hyperlink ref="B35" r:id="rId3" xr:uid="{7D9BF6C0-7E7C-A344-8D49-BCB2D8CC0B61}"/>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Balance</vt:lpstr>
      <vt:lpstr>Income</vt:lpstr>
      <vt:lpstr>Forecast</vt:lpstr>
      <vt:lpstr>WACC</vt:lpstr>
      <vt:lpstr>Valuation</vt:lpstr>
      <vt:lpstr>Multiples</vt:lpstr>
      <vt:lpstr>Ratios</vt:lpstr>
      <vt:lpstr>5 Forces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Soss</dc:creator>
  <cp:lastModifiedBy>Kabir Guglani</cp:lastModifiedBy>
  <cp:lastPrinted>2010-06-27T16:48:28Z</cp:lastPrinted>
  <dcterms:created xsi:type="dcterms:W3CDTF">2009-09-01T17:00:34Z</dcterms:created>
  <dcterms:modified xsi:type="dcterms:W3CDTF">2024-10-01T21:14:10Z</dcterms:modified>
</cp:coreProperties>
</file>